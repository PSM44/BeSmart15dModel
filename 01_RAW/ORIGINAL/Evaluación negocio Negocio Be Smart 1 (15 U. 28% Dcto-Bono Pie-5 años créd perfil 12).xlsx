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rio\Maisa\Comite de Finanzas\2026\Simulación venta 15 Deptos Be Smart - MAISA\"/>
    </mc:Choice>
  </mc:AlternateContent>
  <xr:revisionPtr revIDLastSave="0" documentId="13_ncr:1_{F50B5DDC-23FD-4557-9A11-676D3B9D9A0A}" xr6:coauthVersionLast="47" xr6:coauthVersionMax="47" xr10:uidLastSave="{00000000-0000-0000-0000-000000000000}"/>
  <bookViews>
    <workbookView xWindow="-108" yWindow="-108" windowWidth="23256" windowHeight="12576" tabRatio="829" firstSheet="4" activeTab="5" xr2:uid="{00000000-000D-0000-FFFF-FFFF00000000}"/>
  </bookViews>
  <sheets>
    <sheet name="Resumen" sheetId="25" r:id="rId1"/>
    <sheet name="IVA Dptos" sheetId="16" r:id="rId2"/>
    <sheet name="Hoja1" sheetId="38" r:id="rId3"/>
    <sheet name="Arriendo" sheetId="17" r:id="rId4"/>
    <sheet name="Flujo mensual" sheetId="20" r:id="rId5"/>
    <sheet name="Flujo 5 años C12" sheetId="29" r:id="rId6"/>
    <sheet name="Flujo 5 años C12 (2)" sheetId="37" r:id="rId7"/>
    <sheet name="Crédito Comercial 12A" sheetId="22" r:id="rId8"/>
    <sheet name="Crédito C12" sheetId="30" r:id="rId9"/>
    <sheet name="Flujo 5 años C20" sheetId="31" r:id="rId10"/>
    <sheet name="Crédito Comercial 20A" sheetId="33" r:id="rId11"/>
    <sheet name="Crédito C20" sheetId="3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37" l="1"/>
  <c r="N40" i="37" s="1"/>
  <c r="N29" i="37"/>
  <c r="N30" i="37"/>
  <c r="N24" i="37"/>
  <c r="N8" i="37"/>
  <c r="J6" i="31"/>
  <c r="J6" i="29"/>
  <c r="K5" i="25"/>
  <c r="K7" i="25" s="1"/>
  <c r="R40" i="37"/>
  <c r="S40" i="37"/>
  <c r="T40" i="37"/>
  <c r="U40" i="37"/>
  <c r="V40" i="37"/>
  <c r="W40" i="37"/>
  <c r="X40" i="37"/>
  <c r="Q40" i="37"/>
  <c r="Q33" i="37"/>
  <c r="Z33" i="37" s="1"/>
  <c r="R33" i="37"/>
  <c r="S33" i="37"/>
  <c r="T33" i="37"/>
  <c r="U33" i="37"/>
  <c r="V33" i="37"/>
  <c r="W33" i="37"/>
  <c r="X33" i="37"/>
  <c r="Y33" i="37"/>
  <c r="R32" i="37"/>
  <c r="S32" i="37"/>
  <c r="T32" i="37"/>
  <c r="Z32" i="37" s="1"/>
  <c r="U32" i="37"/>
  <c r="V32" i="37"/>
  <c r="W32" i="37"/>
  <c r="X32" i="37"/>
  <c r="Y32" i="37"/>
  <c r="Q32" i="37"/>
  <c r="N32" i="37"/>
  <c r="L33" i="37" s="1"/>
  <c r="Z30" i="37"/>
  <c r="Q29" i="37"/>
  <c r="Z23" i="37"/>
  <c r="Y22" i="37"/>
  <c r="X22" i="37"/>
  <c r="Z22" i="37" s="1"/>
  <c r="W22" i="37"/>
  <c r="V22" i="37"/>
  <c r="U22" i="37"/>
  <c r="T22" i="37"/>
  <c r="S22" i="37"/>
  <c r="R22" i="37"/>
  <c r="Q22" i="37"/>
  <c r="P22" i="37"/>
  <c r="Y21" i="37"/>
  <c r="X21" i="37"/>
  <c r="W21" i="37"/>
  <c r="Q21" i="37"/>
  <c r="P21" i="37"/>
  <c r="Y20" i="37"/>
  <c r="X20" i="37"/>
  <c r="W20" i="37"/>
  <c r="V20" i="37"/>
  <c r="U20" i="37"/>
  <c r="T20" i="37"/>
  <c r="S20" i="37"/>
  <c r="R20" i="37"/>
  <c r="Q20" i="37"/>
  <c r="Z20" i="37" s="1"/>
  <c r="P20" i="37"/>
  <c r="Y19" i="37"/>
  <c r="X19" i="37"/>
  <c r="W19" i="37"/>
  <c r="V19" i="37"/>
  <c r="U19" i="37"/>
  <c r="T19" i="37"/>
  <c r="S19" i="37"/>
  <c r="R19" i="37"/>
  <c r="Z19" i="37" s="1"/>
  <c r="Q19" i="37"/>
  <c r="P19" i="37"/>
  <c r="Y18" i="37"/>
  <c r="X18" i="37"/>
  <c r="W18" i="37"/>
  <c r="V18" i="37"/>
  <c r="U18" i="37"/>
  <c r="T18" i="37"/>
  <c r="S18" i="37"/>
  <c r="R18" i="37"/>
  <c r="Q18" i="37"/>
  <c r="Z18" i="37" s="1"/>
  <c r="P18" i="37"/>
  <c r="Y17" i="37"/>
  <c r="X17" i="37"/>
  <c r="W17" i="37"/>
  <c r="V17" i="37"/>
  <c r="U17" i="37"/>
  <c r="T17" i="37"/>
  <c r="S17" i="37"/>
  <c r="R17" i="37"/>
  <c r="Q17" i="37"/>
  <c r="Q24" i="37" s="1"/>
  <c r="Q26" i="37" s="1"/>
  <c r="P17" i="37"/>
  <c r="Y16" i="37"/>
  <c r="X16" i="37"/>
  <c r="W16" i="37"/>
  <c r="V16" i="37"/>
  <c r="U16" i="37"/>
  <c r="T16" i="37"/>
  <c r="S16" i="37"/>
  <c r="R16" i="37"/>
  <c r="Z16" i="37" s="1"/>
  <c r="Q16" i="37"/>
  <c r="P16" i="37"/>
  <c r="Y15" i="37"/>
  <c r="X15" i="37"/>
  <c r="W15" i="37"/>
  <c r="V15" i="37"/>
  <c r="U15" i="37"/>
  <c r="T15" i="37"/>
  <c r="S15" i="37"/>
  <c r="R15" i="37"/>
  <c r="Q15" i="37"/>
  <c r="Z15" i="37" s="1"/>
  <c r="P15" i="37"/>
  <c r="Y14" i="37"/>
  <c r="X14" i="37"/>
  <c r="W14" i="37"/>
  <c r="V14" i="37"/>
  <c r="U14" i="37"/>
  <c r="T14" i="37"/>
  <c r="Z14" i="37" s="1"/>
  <c r="S14" i="37"/>
  <c r="R14" i="37"/>
  <c r="Q14" i="37"/>
  <c r="P14" i="37"/>
  <c r="Y13" i="37"/>
  <c r="X13" i="37"/>
  <c r="W13" i="37"/>
  <c r="V13" i="37"/>
  <c r="U13" i="37"/>
  <c r="T13" i="37"/>
  <c r="Z13" i="37" s="1"/>
  <c r="S13" i="37"/>
  <c r="R13" i="37"/>
  <c r="Q13" i="37"/>
  <c r="P13" i="37"/>
  <c r="Y12" i="37"/>
  <c r="Y24" i="37" s="1"/>
  <c r="X12" i="37"/>
  <c r="X24" i="37" s="1"/>
  <c r="W12" i="37"/>
  <c r="W24" i="37" s="1"/>
  <c r="V12" i="37"/>
  <c r="U12" i="37"/>
  <c r="T12" i="37"/>
  <c r="S12" i="37"/>
  <c r="R12" i="37"/>
  <c r="Q12" i="37"/>
  <c r="P12" i="37"/>
  <c r="Z6" i="37"/>
  <c r="S9" i="37"/>
  <c r="T9" i="37"/>
  <c r="U9" i="37"/>
  <c r="V9" i="37"/>
  <c r="R9" i="37"/>
  <c r="V8" i="37"/>
  <c r="Z8" i="37" s="1"/>
  <c r="R7" i="37"/>
  <c r="Z7" i="37" s="1"/>
  <c r="R6" i="37"/>
  <c r="S5" i="37"/>
  <c r="T5" i="37"/>
  <c r="U5" i="37"/>
  <c r="V5" i="37"/>
  <c r="R5" i="37"/>
  <c r="Z5" i="37" s="1"/>
  <c r="J8" i="37"/>
  <c r="E19" i="22"/>
  <c r="F27" i="31"/>
  <c r="J27" i="31"/>
  <c r="K4" i="17"/>
  <c r="J7" i="29"/>
  <c r="F4" i="29"/>
  <c r="AD23" i="16"/>
  <c r="AD8" i="16"/>
  <c r="G3" i="22"/>
  <c r="E3" i="22"/>
  <c r="N3" i="31"/>
  <c r="N13" i="29"/>
  <c r="H8" i="22"/>
  <c r="D3" i="30"/>
  <c r="L31" i="29"/>
  <c r="P4" i="38"/>
  <c r="P5" i="38"/>
  <c r="P6" i="38"/>
  <c r="P7" i="38"/>
  <c r="P8" i="38"/>
  <c r="P9" i="38"/>
  <c r="P10" i="38"/>
  <c r="P11" i="38"/>
  <c r="P12" i="38"/>
  <c r="P13" i="38"/>
  <c r="P14" i="38"/>
  <c r="P15" i="38"/>
  <c r="P16" i="38"/>
  <c r="P17" i="38"/>
  <c r="P3" i="38"/>
  <c r="O4" i="38"/>
  <c r="O5" i="38"/>
  <c r="O6" i="38"/>
  <c r="O7" i="38"/>
  <c r="O8" i="38"/>
  <c r="O9" i="38"/>
  <c r="O10" i="38"/>
  <c r="O11" i="38"/>
  <c r="O12" i="38"/>
  <c r="O13" i="38"/>
  <c r="O14" i="38"/>
  <c r="O15" i="38"/>
  <c r="O16" i="38"/>
  <c r="O17" i="38"/>
  <c r="O3" i="38"/>
  <c r="K4" i="38"/>
  <c r="K5" i="38"/>
  <c r="K6" i="38"/>
  <c r="K7" i="38"/>
  <c r="K8" i="38"/>
  <c r="K9" i="38"/>
  <c r="K10" i="38"/>
  <c r="K11" i="38"/>
  <c r="K12" i="38"/>
  <c r="K13" i="38"/>
  <c r="K14" i="38"/>
  <c r="K15" i="38"/>
  <c r="K16" i="38"/>
  <c r="K17" i="38"/>
  <c r="K3" i="38"/>
  <c r="G7" i="29"/>
  <c r="H7" i="29"/>
  <c r="I7" i="29"/>
  <c r="F7" i="29"/>
  <c r="E33" i="29"/>
  <c r="E35" i="29" s="1"/>
  <c r="E36" i="29" s="1"/>
  <c r="E27" i="29"/>
  <c r="E25" i="29"/>
  <c r="E24" i="29"/>
  <c r="E22" i="29"/>
  <c r="N30" i="29"/>
  <c r="I8" i="22"/>
  <c r="R10" i="17"/>
  <c r="G5" i="20"/>
  <c r="N3" i="29"/>
  <c r="G3" i="29"/>
  <c r="C24" i="20"/>
  <c r="C23" i="20"/>
  <c r="C21" i="20"/>
  <c r="P20" i="20"/>
  <c r="J20" i="20"/>
  <c r="I20" i="20"/>
  <c r="H20" i="20"/>
  <c r="P19" i="20"/>
  <c r="P11" i="20"/>
  <c r="T28" i="17"/>
  <c r="S28" i="17"/>
  <c r="J17" i="20"/>
  <c r="I17" i="20"/>
  <c r="R31" i="17"/>
  <c r="Q31" i="17"/>
  <c r="P16" i="20"/>
  <c r="T19" i="17"/>
  <c r="P15" i="20"/>
  <c r="I15" i="20"/>
  <c r="J15" i="20"/>
  <c r="H15" i="20"/>
  <c r="G15" i="20"/>
  <c r="F15" i="20"/>
  <c r="E15" i="20"/>
  <c r="R16" i="17"/>
  <c r="P6" i="20"/>
  <c r="G6" i="20"/>
  <c r="L24" i="16"/>
  <c r="E8" i="16"/>
  <c r="L9" i="16"/>
  <c r="L8" i="16"/>
  <c r="N24" i="16"/>
  <c r="F4" i="38"/>
  <c r="F5" i="38"/>
  <c r="F6" i="38"/>
  <c r="F7" i="38"/>
  <c r="F8" i="38"/>
  <c r="F9" i="38"/>
  <c r="F10" i="38"/>
  <c r="F11" i="38"/>
  <c r="F12" i="38"/>
  <c r="F13" i="38"/>
  <c r="F14" i="38"/>
  <c r="F15" i="38"/>
  <c r="F16" i="38"/>
  <c r="F17" i="38"/>
  <c r="F3" i="38"/>
  <c r="E4" i="38"/>
  <c r="E5" i="38"/>
  <c r="E6" i="38"/>
  <c r="E7" i="38"/>
  <c r="E8" i="38"/>
  <c r="E9" i="38"/>
  <c r="E10" i="38"/>
  <c r="E11" i="38"/>
  <c r="E12" i="38"/>
  <c r="E13" i="38"/>
  <c r="E14" i="38"/>
  <c r="E15" i="38"/>
  <c r="E16" i="38"/>
  <c r="E17" i="38"/>
  <c r="E3" i="38"/>
  <c r="D18" i="38"/>
  <c r="H2" i="38"/>
  <c r="C3" i="38"/>
  <c r="C4" i="38"/>
  <c r="C5" i="38"/>
  <c r="C6" i="38"/>
  <c r="C7" i="38"/>
  <c r="C8" i="38"/>
  <c r="C9" i="38"/>
  <c r="C10" i="38"/>
  <c r="C11" i="38"/>
  <c r="C12" i="38"/>
  <c r="C13" i="38"/>
  <c r="C14" i="38"/>
  <c r="C15" i="38"/>
  <c r="C16" i="38"/>
  <c r="C17" i="38"/>
  <c r="Z9" i="37" l="1"/>
  <c r="Z17" i="37"/>
  <c r="R29" i="37"/>
  <c r="S29" i="37" s="1"/>
  <c r="T29" i="37" s="1"/>
  <c r="U29" i="37" s="1"/>
  <c r="Z29" i="37" s="1"/>
  <c r="Z12" i="37"/>
  <c r="J8" i="22"/>
  <c r="G3" i="38"/>
  <c r="I3" i="38" s="1"/>
  <c r="G14" i="38"/>
  <c r="I14" i="38" s="1"/>
  <c r="G6" i="38"/>
  <c r="I6" i="38" s="1"/>
  <c r="G13" i="38"/>
  <c r="I13" i="38" s="1"/>
  <c r="G11" i="38"/>
  <c r="I11" i="38" s="1"/>
  <c r="G10" i="38"/>
  <c r="I10" i="38" s="1"/>
  <c r="G9" i="38"/>
  <c r="I9" i="38" s="1"/>
  <c r="G8" i="38"/>
  <c r="I8" i="38" s="1"/>
  <c r="G17" i="38"/>
  <c r="I17" i="38" s="1"/>
  <c r="G5" i="38"/>
  <c r="I5" i="38" s="1"/>
  <c r="G16" i="38"/>
  <c r="I16" i="38" s="1"/>
  <c r="G4" i="38"/>
  <c r="I4" i="38" s="1"/>
  <c r="G12" i="38"/>
  <c r="I12" i="38" s="1"/>
  <c r="G15" i="38"/>
  <c r="I15" i="38" s="1"/>
  <c r="G7" i="38"/>
  <c r="I7" i="38" s="1"/>
  <c r="E18" i="38"/>
  <c r="F18" i="38"/>
  <c r="I18" i="38" l="1"/>
  <c r="G18" i="38"/>
  <c r="S22" i="17" l="1"/>
  <c r="S16" i="17"/>
  <c r="O19" i="17"/>
  <c r="E19" i="17"/>
  <c r="C14" i="17"/>
  <c r="C15" i="17"/>
  <c r="C16" i="17"/>
  <c r="C17" i="17"/>
  <c r="C18" i="17"/>
  <c r="C6" i="17"/>
  <c r="C7" i="17"/>
  <c r="C8" i="17"/>
  <c r="C9" i="17"/>
  <c r="C10" i="17"/>
  <c r="C11" i="17"/>
  <c r="C12" i="17"/>
  <c r="C13" i="17" s="1"/>
  <c r="C5" i="17"/>
  <c r="I47" i="16"/>
  <c r="J47" i="16"/>
  <c r="H47" i="16"/>
  <c r="N8" i="16"/>
  <c r="D8" i="16"/>
  <c r="AD9" i="16"/>
  <c r="AD10" i="16"/>
  <c r="AD11" i="16"/>
  <c r="AD12" i="16"/>
  <c r="AD13" i="16"/>
  <c r="AD14" i="16"/>
  <c r="AD15" i="16"/>
  <c r="AD16" i="16"/>
  <c r="AD17" i="16"/>
  <c r="AD18" i="16"/>
  <c r="AD19" i="16"/>
  <c r="AD20" i="16"/>
  <c r="AD21" i="16"/>
  <c r="AD22" i="16"/>
  <c r="AC9" i="16"/>
  <c r="AC10" i="16"/>
  <c r="AC11" i="16"/>
  <c r="AC12" i="16"/>
  <c r="AC13" i="16"/>
  <c r="AC14" i="16"/>
  <c r="AC15" i="16"/>
  <c r="AC16" i="16"/>
  <c r="AC17" i="16"/>
  <c r="AC18" i="16"/>
  <c r="AC19" i="16"/>
  <c r="AC20" i="16"/>
  <c r="AC21" i="16"/>
  <c r="AC22" i="16"/>
  <c r="AC8" i="16"/>
  <c r="D7" i="22"/>
  <c r="D47" i="16"/>
  <c r="F48" i="16" s="1"/>
  <c r="F52" i="16" s="1"/>
  <c r="X23" i="16"/>
  <c r="T23" i="16"/>
  <c r="H23" i="16"/>
  <c r="D9" i="16"/>
  <c r="D10" i="16"/>
  <c r="D11" i="16"/>
  <c r="D12" i="16"/>
  <c r="D13" i="16"/>
  <c r="D14" i="16"/>
  <c r="D15" i="16"/>
  <c r="D16" i="16"/>
  <c r="E16" i="16" s="1"/>
  <c r="D17" i="16"/>
  <c r="D18" i="16"/>
  <c r="E18" i="16" s="1"/>
  <c r="D19" i="16"/>
  <c r="E19" i="16" s="1"/>
  <c r="D20" i="16"/>
  <c r="D21" i="16"/>
  <c r="D22" i="16"/>
  <c r="Q20" i="16"/>
  <c r="V20" i="16" s="1"/>
  <c r="P17" i="16"/>
  <c r="P18" i="16"/>
  <c r="P19" i="16"/>
  <c r="P20" i="16"/>
  <c r="P21" i="16"/>
  <c r="P22" i="16"/>
  <c r="N10" i="16"/>
  <c r="N11" i="16"/>
  <c r="N12" i="16"/>
  <c r="N13" i="16"/>
  <c r="N14" i="16"/>
  <c r="N15" i="16"/>
  <c r="N16" i="16"/>
  <c r="N17" i="16"/>
  <c r="Q17" i="16" s="1"/>
  <c r="V17" i="16" s="1"/>
  <c r="N18" i="16"/>
  <c r="Q18" i="16" s="1"/>
  <c r="V18" i="16" s="1"/>
  <c r="N19" i="16"/>
  <c r="N20" i="16"/>
  <c r="N21" i="16"/>
  <c r="N22" i="16"/>
  <c r="N9" i="16"/>
  <c r="C1" i="16"/>
  <c r="G18" i="16" s="1"/>
  <c r="N30" i="31"/>
  <c r="G20" i="16" l="1"/>
  <c r="I20" i="16" s="1"/>
  <c r="J48" i="16"/>
  <c r="L18" i="16"/>
  <c r="F19" i="16"/>
  <c r="K19" i="16" s="1"/>
  <c r="Q22" i="16"/>
  <c r="V22" i="16" s="1"/>
  <c r="Q19" i="16"/>
  <c r="V19" i="16" s="1"/>
  <c r="D23" i="16"/>
  <c r="E23" i="16" s="1"/>
  <c r="I18" i="16"/>
  <c r="Q21" i="16"/>
  <c r="V21" i="16" s="1"/>
  <c r="F18" i="16"/>
  <c r="K18" i="16" s="1"/>
  <c r="E22" i="16"/>
  <c r="G22" i="16"/>
  <c r="I22" i="16" s="1"/>
  <c r="E21" i="16"/>
  <c r="G21" i="16"/>
  <c r="I21" i="16" s="1"/>
  <c r="E20" i="16"/>
  <c r="L19" i="16"/>
  <c r="G19" i="16"/>
  <c r="I19" i="16" s="1"/>
  <c r="E17" i="16"/>
  <c r="G17" i="16"/>
  <c r="I17" i="16" s="1"/>
  <c r="AC23" i="16"/>
  <c r="Y26" i="37"/>
  <c r="X26" i="37"/>
  <c r="J35" i="37"/>
  <c r="I35" i="37"/>
  <c r="H35" i="37"/>
  <c r="G35" i="37"/>
  <c r="F35" i="37"/>
  <c r="E35" i="37"/>
  <c r="L35" i="37"/>
  <c r="E29" i="37"/>
  <c r="M24" i="37"/>
  <c r="L24" i="37"/>
  <c r="K24" i="37"/>
  <c r="E14" i="37"/>
  <c r="N14" i="37" s="1"/>
  <c r="M9" i="37"/>
  <c r="L9" i="37"/>
  <c r="K9" i="37"/>
  <c r="E9" i="37"/>
  <c r="E14" i="25"/>
  <c r="G14" i="25"/>
  <c r="J19" i="16" l="1"/>
  <c r="F21" i="16"/>
  <c r="K21" i="16"/>
  <c r="L21" i="16"/>
  <c r="K17" i="16"/>
  <c r="J21" i="16"/>
  <c r="F22" i="16"/>
  <c r="J22" i="16" s="1"/>
  <c r="K22" i="16"/>
  <c r="L22" i="16"/>
  <c r="F20" i="16"/>
  <c r="J20" i="16" s="1"/>
  <c r="L20" i="16"/>
  <c r="L17" i="16"/>
  <c r="F17" i="16"/>
  <c r="J17" i="16" s="1"/>
  <c r="J18" i="16"/>
  <c r="L26" i="37"/>
  <c r="M26" i="37"/>
  <c r="N33" i="37"/>
  <c r="N35" i="37" s="1"/>
  <c r="L37" i="37"/>
  <c r="AN3" i="34"/>
  <c r="AB3" i="34"/>
  <c r="AZ3" i="34"/>
  <c r="D3" i="34"/>
  <c r="D5" i="34" s="1"/>
  <c r="E5" i="34" s="1"/>
  <c r="D8" i="33"/>
  <c r="D7" i="33"/>
  <c r="G8" i="33"/>
  <c r="G9" i="33" s="1"/>
  <c r="G10" i="33" s="1"/>
  <c r="G11" i="33" s="1"/>
  <c r="G12" i="33" s="1"/>
  <c r="G13" i="33" s="1"/>
  <c r="G14" i="33" s="1"/>
  <c r="G15" i="33" s="1"/>
  <c r="G16" i="33" s="1"/>
  <c r="G17" i="33" s="1"/>
  <c r="G18" i="33" s="1"/>
  <c r="G19" i="33" s="1"/>
  <c r="G20" i="33" s="1"/>
  <c r="G21" i="33" s="1"/>
  <c r="G22" i="33" s="1"/>
  <c r="G23" i="33" s="1"/>
  <c r="G24" i="33" s="1"/>
  <c r="G25" i="33" s="1"/>
  <c r="G26" i="33" s="1"/>
  <c r="G27" i="33" s="1"/>
  <c r="G28" i="33" s="1"/>
  <c r="G29" i="33" s="1"/>
  <c r="G30" i="33" s="1"/>
  <c r="G31" i="33" s="1"/>
  <c r="G32" i="33" s="1"/>
  <c r="G33" i="33" s="1"/>
  <c r="G34" i="33" s="1"/>
  <c r="G35" i="33" s="1"/>
  <c r="G36" i="33" s="1"/>
  <c r="G37" i="33" s="1"/>
  <c r="G38" i="33" s="1"/>
  <c r="G39" i="33" s="1"/>
  <c r="G40" i="33" s="1"/>
  <c r="G41" i="33" s="1"/>
  <c r="G42" i="33" s="1"/>
  <c r="G43" i="33" s="1"/>
  <c r="G44" i="33" s="1"/>
  <c r="G45" i="33" s="1"/>
  <c r="G46" i="33" s="1"/>
  <c r="G47" i="33" s="1"/>
  <c r="G48" i="33" s="1"/>
  <c r="G49" i="33" s="1"/>
  <c r="G50" i="33" s="1"/>
  <c r="G51" i="33" s="1"/>
  <c r="G52" i="33" s="1"/>
  <c r="G53" i="33" s="1"/>
  <c r="G54" i="33" s="1"/>
  <c r="G55" i="33" s="1"/>
  <c r="G56" i="33" s="1"/>
  <c r="G57" i="33" s="1"/>
  <c r="G58" i="33" s="1"/>
  <c r="G59" i="33" s="1"/>
  <c r="G60" i="33" s="1"/>
  <c r="G61" i="33" s="1"/>
  <c r="G62" i="33" s="1"/>
  <c r="G63" i="33" s="1"/>
  <c r="G64" i="33" s="1"/>
  <c r="G65" i="33" s="1"/>
  <c r="G66" i="33" s="1"/>
  <c r="G67" i="33" s="1"/>
  <c r="G68" i="33" s="1"/>
  <c r="G69" i="33" s="1"/>
  <c r="G70" i="33" s="1"/>
  <c r="G71" i="33" s="1"/>
  <c r="G72" i="33" s="1"/>
  <c r="G73" i="33" s="1"/>
  <c r="G74" i="33" s="1"/>
  <c r="G75" i="33" s="1"/>
  <c r="G76" i="33" s="1"/>
  <c r="G77" i="33" s="1"/>
  <c r="G78" i="33" s="1"/>
  <c r="G79" i="33" s="1"/>
  <c r="G80" i="33" s="1"/>
  <c r="G81" i="33" s="1"/>
  <c r="G82" i="33" s="1"/>
  <c r="G83" i="33" s="1"/>
  <c r="G84" i="33" s="1"/>
  <c r="G85" i="33" s="1"/>
  <c r="G86" i="33" s="1"/>
  <c r="G87" i="33" s="1"/>
  <c r="G88" i="33" s="1"/>
  <c r="G89" i="33" s="1"/>
  <c r="G90" i="33" s="1"/>
  <c r="G91" i="33" s="1"/>
  <c r="G92" i="33" s="1"/>
  <c r="G93" i="33" s="1"/>
  <c r="G94" i="33" s="1"/>
  <c r="G95" i="33" s="1"/>
  <c r="G96" i="33" s="1"/>
  <c r="G97" i="33" s="1"/>
  <c r="G98" i="33" s="1"/>
  <c r="G99" i="33" s="1"/>
  <c r="G100" i="33" s="1"/>
  <c r="G101" i="33" s="1"/>
  <c r="G102" i="33" s="1"/>
  <c r="G103" i="33" s="1"/>
  <c r="G104" i="33" s="1"/>
  <c r="G105" i="33" s="1"/>
  <c r="G106" i="33" s="1"/>
  <c r="G107" i="33" s="1"/>
  <c r="G108" i="33" s="1"/>
  <c r="G109" i="33" s="1"/>
  <c r="G110" i="33" s="1"/>
  <c r="G111" i="33" s="1"/>
  <c r="G112" i="33" s="1"/>
  <c r="G113" i="33" s="1"/>
  <c r="G114" i="33" s="1"/>
  <c r="G115" i="33" s="1"/>
  <c r="G116" i="33" s="1"/>
  <c r="G117" i="33" s="1"/>
  <c r="G118" i="33" s="1"/>
  <c r="G119" i="33" s="1"/>
  <c r="G120" i="33" s="1"/>
  <c r="G121" i="33" s="1"/>
  <c r="G122" i="33" s="1"/>
  <c r="G123" i="33" s="1"/>
  <c r="G124" i="33" s="1"/>
  <c r="G125" i="33" s="1"/>
  <c r="G126" i="33" s="1"/>
  <c r="G127" i="33" s="1"/>
  <c r="G128" i="33" s="1"/>
  <c r="G129" i="33" s="1"/>
  <c r="G130" i="33" s="1"/>
  <c r="G131" i="33" s="1"/>
  <c r="G132" i="33" s="1"/>
  <c r="G133" i="33" s="1"/>
  <c r="G134" i="33" s="1"/>
  <c r="G135" i="33" s="1"/>
  <c r="G136" i="33" s="1"/>
  <c r="G137" i="33" s="1"/>
  <c r="G138" i="33" s="1"/>
  <c r="G139" i="33" s="1"/>
  <c r="G140" i="33" s="1"/>
  <c r="G141" i="33" s="1"/>
  <c r="G142" i="33" s="1"/>
  <c r="G143" i="33" s="1"/>
  <c r="G144" i="33" s="1"/>
  <c r="G145" i="33" s="1"/>
  <c r="G146" i="33" s="1"/>
  <c r="G147" i="33" s="1"/>
  <c r="G148" i="33" s="1"/>
  <c r="G149" i="33" s="1"/>
  <c r="G150" i="33" s="1"/>
  <c r="G151" i="33" s="1"/>
  <c r="G152" i="33" s="1"/>
  <c r="G153" i="33" s="1"/>
  <c r="G154" i="33" s="1"/>
  <c r="G155" i="33" s="1"/>
  <c r="G156" i="33" s="1"/>
  <c r="G157" i="33" s="1"/>
  <c r="G158" i="33" s="1"/>
  <c r="G159" i="33" s="1"/>
  <c r="G160" i="33" s="1"/>
  <c r="G161" i="33" s="1"/>
  <c r="G162" i="33" s="1"/>
  <c r="G163" i="33" s="1"/>
  <c r="G164" i="33" s="1"/>
  <c r="G165" i="33" s="1"/>
  <c r="G166" i="33" s="1"/>
  <c r="G167" i="33" s="1"/>
  <c r="G168" i="33" s="1"/>
  <c r="G169" i="33" s="1"/>
  <c r="G170" i="33" s="1"/>
  <c r="G171" i="33" s="1"/>
  <c r="G172" i="33" s="1"/>
  <c r="G173" i="33" s="1"/>
  <c r="G174" i="33" s="1"/>
  <c r="G175" i="33" s="1"/>
  <c r="G176" i="33" s="1"/>
  <c r="G177" i="33" s="1"/>
  <c r="G178" i="33" s="1"/>
  <c r="G179" i="33" s="1"/>
  <c r="G180" i="33" s="1"/>
  <c r="G181" i="33" s="1"/>
  <c r="G182" i="33" s="1"/>
  <c r="G183" i="33" s="1"/>
  <c r="G184" i="33" s="1"/>
  <c r="G185" i="33" s="1"/>
  <c r="G186" i="33" s="1"/>
  <c r="G187" i="33" s="1"/>
  <c r="G188" i="33" s="1"/>
  <c r="G189" i="33" s="1"/>
  <c r="G190" i="33" s="1"/>
  <c r="G191" i="33" s="1"/>
  <c r="G192" i="33" s="1"/>
  <c r="G193" i="33" s="1"/>
  <c r="G194" i="33" s="1"/>
  <c r="G195" i="33" s="1"/>
  <c r="G196" i="33" s="1"/>
  <c r="G197" i="33" s="1"/>
  <c r="G198" i="33" s="1"/>
  <c r="G199" i="33" s="1"/>
  <c r="G200" i="33" s="1"/>
  <c r="G201" i="33" s="1"/>
  <c r="G202" i="33" s="1"/>
  <c r="G203" i="33" s="1"/>
  <c r="G204" i="33" s="1"/>
  <c r="G205" i="33" s="1"/>
  <c r="G206" i="33" s="1"/>
  <c r="G207" i="33" s="1"/>
  <c r="G208" i="33" s="1"/>
  <c r="G209" i="33" s="1"/>
  <c r="G210" i="33" s="1"/>
  <c r="G211" i="33" s="1"/>
  <c r="G212" i="33" s="1"/>
  <c r="G213" i="33" s="1"/>
  <c r="G214" i="33" s="1"/>
  <c r="G215" i="33" s="1"/>
  <c r="G216" i="33" s="1"/>
  <c r="G217" i="33" s="1"/>
  <c r="G218" i="33" s="1"/>
  <c r="G219" i="33" s="1"/>
  <c r="G220" i="33" s="1"/>
  <c r="G221" i="33" s="1"/>
  <c r="G222" i="33" s="1"/>
  <c r="G223" i="33" s="1"/>
  <c r="G224" i="33" s="1"/>
  <c r="G225" i="33" s="1"/>
  <c r="G226" i="33" s="1"/>
  <c r="G227" i="33" s="1"/>
  <c r="G228" i="33" s="1"/>
  <c r="G229" i="33" s="1"/>
  <c r="G230" i="33" s="1"/>
  <c r="G231" i="33" s="1"/>
  <c r="G232" i="33" s="1"/>
  <c r="G233" i="33" s="1"/>
  <c r="G234" i="33" s="1"/>
  <c r="G235" i="33" s="1"/>
  <c r="G236" i="33" s="1"/>
  <c r="G237" i="33" s="1"/>
  <c r="G238" i="33" s="1"/>
  <c r="G239" i="33" s="1"/>
  <c r="G240" i="33" s="1"/>
  <c r="G241" i="33" s="1"/>
  <c r="G242" i="33" s="1"/>
  <c r="G243" i="33" s="1"/>
  <c r="G244" i="33" s="1"/>
  <c r="G245" i="33" s="1"/>
  <c r="G246" i="33" s="1"/>
  <c r="G247" i="33" s="1"/>
  <c r="D6" i="33"/>
  <c r="K20" i="16" l="1"/>
  <c r="F5" i="34"/>
  <c r="F7" i="34"/>
  <c r="E7" i="34"/>
  <c r="G7" i="34" l="1"/>
  <c r="G8" i="34" s="1"/>
  <c r="G5" i="34"/>
  <c r="H5" i="34" l="1"/>
  <c r="H7" i="34"/>
  <c r="I7" i="34" l="1"/>
  <c r="I5" i="34"/>
  <c r="J5" i="34" l="1"/>
  <c r="J7" i="34"/>
  <c r="J8" i="34" s="1"/>
  <c r="K5" i="34" l="1"/>
  <c r="K7" i="34"/>
  <c r="L5" i="34" l="1"/>
  <c r="L7" i="34"/>
  <c r="M5" i="34" l="1"/>
  <c r="M7" i="34"/>
  <c r="M8" i="34" s="1"/>
  <c r="O9" i="34" s="1"/>
  <c r="F19" i="31" s="1"/>
  <c r="R21" i="37" s="1"/>
  <c r="R24" i="37" l="1"/>
  <c r="R26" i="37" s="1"/>
  <c r="N5" i="34"/>
  <c r="N7" i="34"/>
  <c r="O7" i="34" l="1"/>
  <c r="O5" i="34"/>
  <c r="P7" i="34" l="1"/>
  <c r="P8" i="34" s="1"/>
  <c r="P5" i="34"/>
  <c r="Q5" i="34" l="1"/>
  <c r="Q7" i="34"/>
  <c r="R5" i="34" l="1"/>
  <c r="R7" i="34"/>
  <c r="S7" i="34" l="1"/>
  <c r="S8" i="34" s="1"/>
  <c r="S5" i="34"/>
  <c r="T7" i="34" l="1"/>
  <c r="T5" i="34"/>
  <c r="U5" i="34" l="1"/>
  <c r="U7" i="34"/>
  <c r="V7" i="34" l="1"/>
  <c r="V8" i="34" s="1"/>
  <c r="V5" i="34"/>
  <c r="W5" i="34" l="1"/>
  <c r="W7" i="34"/>
  <c r="X5" i="34" l="1"/>
  <c r="X7" i="34"/>
  <c r="Y5" i="34" l="1"/>
  <c r="Y7" i="34"/>
  <c r="Y8" i="34" s="1"/>
  <c r="AA9" i="34" s="1"/>
  <c r="G19" i="31" s="1"/>
  <c r="S21" i="37" s="1"/>
  <c r="S24" i="37" l="1"/>
  <c r="S26" i="37" s="1"/>
  <c r="Z5" i="34"/>
  <c r="Z7" i="34"/>
  <c r="AA5" i="34" l="1"/>
  <c r="AA7" i="34"/>
  <c r="AB7" i="34" l="1"/>
  <c r="AB8" i="34" s="1"/>
  <c r="AB5" i="34"/>
  <c r="AC5" i="34" l="1"/>
  <c r="AC7" i="34"/>
  <c r="AD5" i="34" l="1"/>
  <c r="AD7" i="34"/>
  <c r="AE7" i="34" l="1"/>
  <c r="AE8" i="34" s="1"/>
  <c r="AE5" i="34"/>
  <c r="AF5" i="34" l="1"/>
  <c r="AF7" i="34"/>
  <c r="AG5" i="34" l="1"/>
  <c r="AG7" i="34"/>
  <c r="AH7" i="34" l="1"/>
  <c r="AH8" i="34" s="1"/>
  <c r="AH5" i="34"/>
  <c r="AI5" i="34" l="1"/>
  <c r="AI7" i="34"/>
  <c r="AJ5" i="34" l="1"/>
  <c r="AJ7" i="34"/>
  <c r="AK5" i="34" l="1"/>
  <c r="AK7" i="34"/>
  <c r="AK8" i="34" s="1"/>
  <c r="AM9" i="34" s="1"/>
  <c r="H19" i="31" s="1"/>
  <c r="T21" i="37" s="1"/>
  <c r="T24" i="37" l="1"/>
  <c r="T26" i="37" s="1"/>
  <c r="AL5" i="34"/>
  <c r="AL7" i="34"/>
  <c r="AM7" i="34" l="1"/>
  <c r="AM5" i="34"/>
  <c r="AN5" i="34" l="1"/>
  <c r="AN7" i="34"/>
  <c r="AN8" i="34" s="1"/>
  <c r="AO5" i="34" l="1"/>
  <c r="AO7" i="34"/>
  <c r="AP5" i="34" l="1"/>
  <c r="AP7" i="34"/>
  <c r="AQ7" i="34" l="1"/>
  <c r="AQ8" i="34" s="1"/>
  <c r="AQ5" i="34"/>
  <c r="AR7" i="34" l="1"/>
  <c r="AR5" i="34"/>
  <c r="AS5" i="34" l="1"/>
  <c r="AS7" i="34"/>
  <c r="AT7" i="34" l="1"/>
  <c r="AT8" i="34" s="1"/>
  <c r="AT5" i="34"/>
  <c r="AU5" i="34" l="1"/>
  <c r="AU7" i="34"/>
  <c r="AV5" i="34" l="1"/>
  <c r="AV7" i="34"/>
  <c r="AW5" i="34" l="1"/>
  <c r="AW7" i="34"/>
  <c r="AW8" i="34" s="1"/>
  <c r="AY9" i="34" s="1"/>
  <c r="I19" i="31" s="1"/>
  <c r="U21" i="37" s="1"/>
  <c r="U24" i="37" l="1"/>
  <c r="U26" i="37" s="1"/>
  <c r="AX5" i="34"/>
  <c r="AX7" i="34"/>
  <c r="AY7" i="34" l="1"/>
  <c r="AY5" i="34"/>
  <c r="AZ7" i="34" l="1"/>
  <c r="AZ8" i="34" s="1"/>
  <c r="AZ5" i="34"/>
  <c r="BA5" i="34" l="1"/>
  <c r="BA7" i="34"/>
  <c r="BB5" i="34" l="1"/>
  <c r="BB7" i="34"/>
  <c r="BC7" i="34" l="1"/>
  <c r="BC8" i="34" s="1"/>
  <c r="BC5" i="34"/>
  <c r="BD5" i="34" l="1"/>
  <c r="BD7" i="34"/>
  <c r="BE5" i="34" l="1"/>
  <c r="BE7" i="34"/>
  <c r="BF7" i="34" l="1"/>
  <c r="BF8" i="34" s="1"/>
  <c r="BF5" i="34"/>
  <c r="BG5" i="34" l="1"/>
  <c r="BG7" i="34"/>
  <c r="BH5" i="34" l="1"/>
  <c r="BH7" i="34"/>
  <c r="BI5" i="34" l="1"/>
  <c r="BI7" i="34"/>
  <c r="BI8" i="34" s="1"/>
  <c r="BJ5" i="34" l="1"/>
  <c r="BJ7" i="34"/>
  <c r="BK7" i="34" l="1"/>
  <c r="BL7" i="34" s="1"/>
  <c r="BK5" i="34"/>
  <c r="BK8" i="34" l="1"/>
  <c r="BL8" i="34" l="1"/>
  <c r="BK9" i="34"/>
  <c r="BL9" i="34" l="1"/>
  <c r="J19" i="31"/>
  <c r="N19" i="31" l="1"/>
  <c r="V21" i="37"/>
  <c r="J33" i="31"/>
  <c r="I33" i="31"/>
  <c r="H33" i="31"/>
  <c r="G33" i="31"/>
  <c r="F33" i="31"/>
  <c r="E33" i="31"/>
  <c r="E27" i="31"/>
  <c r="M22" i="31"/>
  <c r="L22" i="31"/>
  <c r="K22" i="31"/>
  <c r="E12" i="31"/>
  <c r="M7" i="31"/>
  <c r="M24" i="31" s="1"/>
  <c r="L7" i="31"/>
  <c r="L24" i="31" s="1"/>
  <c r="K7" i="31"/>
  <c r="E7" i="31"/>
  <c r="E47" i="16"/>
  <c r="L48" i="16" s="1"/>
  <c r="F47" i="16"/>
  <c r="B2" i="30"/>
  <c r="K22" i="29"/>
  <c r="K7" i="29"/>
  <c r="L7" i="29"/>
  <c r="M7" i="29"/>
  <c r="E12" i="29"/>
  <c r="N12" i="29" s="1"/>
  <c r="G33" i="29"/>
  <c r="V24" i="37" l="1"/>
  <c r="V26" i="37" s="1"/>
  <c r="Z26" i="37" s="1"/>
  <c r="Z40" i="37" s="1"/>
  <c r="Z21" i="37"/>
  <c r="Z24" i="37" s="1"/>
  <c r="E5" i="25"/>
  <c r="G5" i="25"/>
  <c r="N33" i="31"/>
  <c r="B2" i="34"/>
  <c r="L31" i="31"/>
  <c r="L33" i="31" s="1"/>
  <c r="L35" i="31" s="1"/>
  <c r="N12" i="31"/>
  <c r="S25" i="17"/>
  <c r="S10" i="17"/>
  <c r="S7" i="17"/>
  <c r="Q16" i="17"/>
  <c r="Q4" i="17"/>
  <c r="S4" i="17" s="1"/>
  <c r="Q19" i="17" l="1"/>
  <c r="S19" i="17" s="1"/>
  <c r="S31" i="17"/>
  <c r="O1" i="17" l="1"/>
  <c r="C4" i="17"/>
  <c r="P8" i="16"/>
  <c r="Q8" i="16" s="1"/>
  <c r="B8" i="16"/>
  <c r="D6" i="22"/>
  <c r="AZ3" i="30"/>
  <c r="AN3" i="30"/>
  <c r="AB3" i="30"/>
  <c r="P3" i="30"/>
  <c r="J33" i="29"/>
  <c r="T22" i="17" l="1"/>
  <c r="T16" i="17"/>
  <c r="R22" i="17"/>
  <c r="B1" i="17"/>
  <c r="R28" i="17"/>
  <c r="R25" i="17"/>
  <c r="T10" i="17"/>
  <c r="R7" i="17"/>
  <c r="T25" i="17"/>
  <c r="T7" i="17"/>
  <c r="C11" i="20" s="1"/>
  <c r="R4" i="17"/>
  <c r="R19" i="17"/>
  <c r="T4" i="17"/>
  <c r="C14" i="20"/>
  <c r="T31" i="17"/>
  <c r="L22" i="29"/>
  <c r="M22" i="29"/>
  <c r="F4" i="17" l="1"/>
  <c r="G11" i="17"/>
  <c r="H11" i="17" s="1"/>
  <c r="I11" i="17" s="1"/>
  <c r="F9" i="17"/>
  <c r="G8" i="17"/>
  <c r="H8" i="17" s="1"/>
  <c r="I8" i="17" s="1"/>
  <c r="J8" i="17" s="1"/>
  <c r="K8" i="17" s="1"/>
  <c r="L8" i="17" s="1"/>
  <c r="F7" i="17"/>
  <c r="G12" i="17"/>
  <c r="H12" i="17" s="1"/>
  <c r="I12" i="17" s="1"/>
  <c r="F10" i="17"/>
  <c r="G9" i="17"/>
  <c r="H9" i="17" s="1"/>
  <c r="I9" i="17" s="1"/>
  <c r="J9" i="17" s="1"/>
  <c r="K9" i="17" s="1"/>
  <c r="L9" i="17" s="1"/>
  <c r="G13" i="17"/>
  <c r="H13" i="17" s="1"/>
  <c r="I13" i="17" s="1"/>
  <c r="F11" i="17"/>
  <c r="G14" i="17"/>
  <c r="H14" i="17" s="1"/>
  <c r="I14" i="17" s="1"/>
  <c r="J14" i="17" s="1"/>
  <c r="K14" i="17" s="1"/>
  <c r="L14" i="17" s="1"/>
  <c r="F12" i="17"/>
  <c r="F5" i="17"/>
  <c r="F18" i="17"/>
  <c r="G15" i="17"/>
  <c r="H15" i="17" s="1"/>
  <c r="I15" i="17" s="1"/>
  <c r="F13" i="17"/>
  <c r="G10" i="17"/>
  <c r="H10" i="17" s="1"/>
  <c r="I10" i="17" s="1"/>
  <c r="G16" i="17"/>
  <c r="H16" i="17" s="1"/>
  <c r="I16" i="17" s="1"/>
  <c r="F14" i="17"/>
  <c r="G7" i="17"/>
  <c r="H7" i="17" s="1"/>
  <c r="I7" i="17" s="1"/>
  <c r="J7" i="17" s="1"/>
  <c r="K7" i="17" s="1"/>
  <c r="L7" i="17" s="1"/>
  <c r="G5" i="17"/>
  <c r="H5" i="17" s="1"/>
  <c r="I5" i="17" s="1"/>
  <c r="J5" i="17" s="1"/>
  <c r="K5" i="17" s="1"/>
  <c r="L5" i="17" s="1"/>
  <c r="G17" i="17"/>
  <c r="H17" i="17" s="1"/>
  <c r="I17" i="17" s="1"/>
  <c r="J17" i="17" s="1"/>
  <c r="K17" i="17" s="1"/>
  <c r="L17" i="17" s="1"/>
  <c r="F15" i="17"/>
  <c r="F6" i="17"/>
  <c r="F8" i="17"/>
  <c r="G6" i="17"/>
  <c r="H6" i="17" s="1"/>
  <c r="I6" i="17" s="1"/>
  <c r="G18" i="17"/>
  <c r="H18" i="17" s="1"/>
  <c r="I18" i="17" s="1"/>
  <c r="J18" i="17" s="1"/>
  <c r="K18" i="17" s="1"/>
  <c r="L18" i="17" s="1"/>
  <c r="F16" i="17"/>
  <c r="F17" i="17"/>
  <c r="I16" i="20"/>
  <c r="H16" i="20"/>
  <c r="G16" i="20"/>
  <c r="F16" i="20"/>
  <c r="E16" i="20"/>
  <c r="E10" i="29"/>
  <c r="E12" i="37"/>
  <c r="E10" i="31"/>
  <c r="F19" i="20"/>
  <c r="G19" i="20"/>
  <c r="H19" i="20"/>
  <c r="J19" i="20"/>
  <c r="I19" i="20"/>
  <c r="N19" i="20"/>
  <c r="O19" i="20"/>
  <c r="D19" i="20"/>
  <c r="K19" i="20"/>
  <c r="L19" i="20"/>
  <c r="M19" i="20"/>
  <c r="E19" i="20"/>
  <c r="D16" i="20"/>
  <c r="K17" i="20"/>
  <c r="L17" i="20" s="1"/>
  <c r="M17" i="20" s="1"/>
  <c r="N17" i="20" s="1"/>
  <c r="O17" i="20" s="1"/>
  <c r="H17" i="20"/>
  <c r="F17" i="20"/>
  <c r="E17" i="20"/>
  <c r="G17" i="20"/>
  <c r="L12" i="20"/>
  <c r="I12" i="20"/>
  <c r="G12" i="20"/>
  <c r="N12" i="20"/>
  <c r="F8" i="16"/>
  <c r="L24" i="29"/>
  <c r="M24" i="29"/>
  <c r="I33" i="29"/>
  <c r="H33" i="29"/>
  <c r="F33" i="29"/>
  <c r="E7" i="29"/>
  <c r="D8" i="22"/>
  <c r="G8" i="22"/>
  <c r="J13" i="17" l="1"/>
  <c r="K13" i="17" s="1"/>
  <c r="L13" i="17" s="1"/>
  <c r="J16" i="17"/>
  <c r="K16" i="17" s="1"/>
  <c r="L16" i="17" s="1"/>
  <c r="J12" i="17"/>
  <c r="K12" i="17" s="1"/>
  <c r="L12" i="17" s="1"/>
  <c r="J10" i="17"/>
  <c r="K10" i="17" s="1"/>
  <c r="L10" i="17" s="1"/>
  <c r="J15" i="17"/>
  <c r="K15" i="17" s="1"/>
  <c r="L15" i="17" s="1"/>
  <c r="J11" i="17"/>
  <c r="K11" i="17" s="1"/>
  <c r="L11" i="17" s="1"/>
  <c r="J8" i="16"/>
  <c r="J6" i="17"/>
  <c r="K6" i="17" s="1"/>
  <c r="L6" i="17" s="1"/>
  <c r="J4" i="20"/>
  <c r="I4" i="20"/>
  <c r="F19" i="17"/>
  <c r="F20" i="17" s="1"/>
  <c r="H19" i="37"/>
  <c r="I19" i="37"/>
  <c r="G19" i="37"/>
  <c r="J19" i="37"/>
  <c r="J17" i="31"/>
  <c r="I17" i="31"/>
  <c r="H17" i="31"/>
  <c r="G17" i="31"/>
  <c r="N10" i="31"/>
  <c r="N12" i="37"/>
  <c r="J17" i="29"/>
  <c r="H17" i="29"/>
  <c r="G17" i="29"/>
  <c r="I17" i="29"/>
  <c r="G8" i="16" l="1"/>
  <c r="K8" i="16"/>
  <c r="I8" i="16" l="1"/>
  <c r="E15" i="25"/>
  <c r="N6" i="31"/>
  <c r="D2" i="33"/>
  <c r="D3" i="33" s="1"/>
  <c r="D4" i="33" s="1"/>
  <c r="H135" i="33" l="1"/>
  <c r="H147" i="33"/>
  <c r="H159" i="33"/>
  <c r="H171" i="33"/>
  <c r="H183" i="33"/>
  <c r="H195" i="33"/>
  <c r="H207" i="33"/>
  <c r="H219" i="33"/>
  <c r="H231" i="33"/>
  <c r="H243" i="33"/>
  <c r="H136" i="33"/>
  <c r="H148" i="33"/>
  <c r="H160" i="33"/>
  <c r="H172" i="33"/>
  <c r="H184" i="33"/>
  <c r="H196" i="33"/>
  <c r="H208" i="33"/>
  <c r="H220" i="33"/>
  <c r="H232" i="33"/>
  <c r="H244" i="33"/>
  <c r="H132" i="33"/>
  <c r="H156" i="33"/>
  <c r="H168" i="33"/>
  <c r="H180" i="33"/>
  <c r="H204" i="33"/>
  <c r="H240" i="33"/>
  <c r="H218" i="33"/>
  <c r="H137" i="33"/>
  <c r="H149" i="33"/>
  <c r="H161" i="33"/>
  <c r="H173" i="33"/>
  <c r="H185" i="33"/>
  <c r="H197" i="33"/>
  <c r="H209" i="33"/>
  <c r="H221" i="33"/>
  <c r="H233" i="33"/>
  <c r="H245" i="33"/>
  <c r="H198" i="33"/>
  <c r="H222" i="33"/>
  <c r="H236" i="33"/>
  <c r="H131" i="33"/>
  <c r="H203" i="33"/>
  <c r="H239" i="33"/>
  <c r="H144" i="33"/>
  <c r="H228" i="33"/>
  <c r="H157" i="33"/>
  <c r="H241" i="33"/>
  <c r="H138" i="33"/>
  <c r="H150" i="33"/>
  <c r="H162" i="33"/>
  <c r="H174" i="33"/>
  <c r="H186" i="33"/>
  <c r="H210" i="33"/>
  <c r="H234" i="33"/>
  <c r="H246" i="33"/>
  <c r="H145" i="33"/>
  <c r="H181" i="33"/>
  <c r="H193" i="33"/>
  <c r="H205" i="33"/>
  <c r="H229" i="33"/>
  <c r="H134" i="33"/>
  <c r="H158" i="33"/>
  <c r="H170" i="33"/>
  <c r="H194" i="33"/>
  <c r="H230" i="33"/>
  <c r="H139" i="33"/>
  <c r="H151" i="33"/>
  <c r="H163" i="33"/>
  <c r="H175" i="33"/>
  <c r="H187" i="33"/>
  <c r="H199" i="33"/>
  <c r="H211" i="33"/>
  <c r="H223" i="33"/>
  <c r="H235" i="33"/>
  <c r="H247" i="33"/>
  <c r="H176" i="33"/>
  <c r="H212" i="33"/>
  <c r="H130" i="33"/>
  <c r="H166" i="33"/>
  <c r="H214" i="33"/>
  <c r="H27" i="33"/>
  <c r="H143" i="33"/>
  <c r="H155" i="33"/>
  <c r="H167" i="33"/>
  <c r="H179" i="33"/>
  <c r="H191" i="33"/>
  <c r="H215" i="33"/>
  <c r="H227" i="33"/>
  <c r="H8" i="33"/>
  <c r="H133" i="33"/>
  <c r="H217" i="33"/>
  <c r="H128" i="33"/>
  <c r="H140" i="33"/>
  <c r="H152" i="33"/>
  <c r="H164" i="33"/>
  <c r="H188" i="33"/>
  <c r="H200" i="33"/>
  <c r="H224" i="33"/>
  <c r="H142" i="33"/>
  <c r="H154" i="33"/>
  <c r="H178" i="33"/>
  <c r="H202" i="33"/>
  <c r="H226" i="33"/>
  <c r="H238" i="33"/>
  <c r="H216" i="33"/>
  <c r="H129" i="33"/>
  <c r="H141" i="33"/>
  <c r="H153" i="33"/>
  <c r="H165" i="33"/>
  <c r="H177" i="33"/>
  <c r="H189" i="33"/>
  <c r="H201" i="33"/>
  <c r="H213" i="33"/>
  <c r="H225" i="33"/>
  <c r="H237" i="33"/>
  <c r="H190" i="33"/>
  <c r="H192" i="33"/>
  <c r="H169" i="33"/>
  <c r="H146" i="33"/>
  <c r="H182" i="33"/>
  <c r="H206" i="33"/>
  <c r="H242" i="33"/>
  <c r="H123" i="33"/>
  <c r="H34" i="33"/>
  <c r="H36" i="33"/>
  <c r="H81" i="33"/>
  <c r="H68" i="33"/>
  <c r="H102" i="33"/>
  <c r="H119" i="33"/>
  <c r="H19" i="33"/>
  <c r="H43" i="33"/>
  <c r="H96" i="33"/>
  <c r="H21" i="33"/>
  <c r="H87" i="33"/>
  <c r="H77" i="33"/>
  <c r="H11" i="33"/>
  <c r="H80" i="33"/>
  <c r="H28" i="33"/>
  <c r="H50" i="33"/>
  <c r="H101" i="33"/>
  <c r="H18" i="33"/>
  <c r="H110" i="33"/>
  <c r="H70" i="33"/>
  <c r="H100" i="33"/>
  <c r="H58" i="33"/>
  <c r="H85" i="33"/>
  <c r="H12" i="33"/>
  <c r="H44" i="33"/>
  <c r="H90" i="33"/>
  <c r="H31" i="33"/>
  <c r="H111" i="33"/>
  <c r="H15" i="33"/>
  <c r="H24" i="33"/>
  <c r="H25" i="33"/>
  <c r="H30" i="33"/>
  <c r="H114" i="33"/>
  <c r="H9" i="33"/>
  <c r="H26" i="33"/>
  <c r="H55" i="33"/>
  <c r="H108" i="33"/>
  <c r="H99" i="33"/>
  <c r="H89" i="33"/>
  <c r="H17" i="33"/>
  <c r="E23" i="33" s="1"/>
  <c r="H104" i="33"/>
  <c r="H121" i="33"/>
  <c r="H126" i="33"/>
  <c r="H38" i="33"/>
  <c r="H67" i="33"/>
  <c r="H120" i="33"/>
  <c r="K7" i="33"/>
  <c r="H16" i="33"/>
  <c r="H79" i="33"/>
  <c r="H105" i="33"/>
  <c r="H88" i="33"/>
  <c r="H10" i="33"/>
  <c r="H83" i="33"/>
  <c r="H116" i="33"/>
  <c r="H78" i="33"/>
  <c r="H75" i="33"/>
  <c r="H65" i="33"/>
  <c r="H33" i="33"/>
  <c r="H97" i="33"/>
  <c r="H32" i="33"/>
  <c r="H23" i="33"/>
  <c r="H40" i="33"/>
  <c r="H62" i="33"/>
  <c r="H91" i="33"/>
  <c r="H113" i="33"/>
  <c r="H35" i="33"/>
  <c r="H74" i="33"/>
  <c r="H125" i="33"/>
  <c r="H41" i="33"/>
  <c r="H61" i="33"/>
  <c r="H47" i="33"/>
  <c r="H86" i="33"/>
  <c r="H94" i="33"/>
  <c r="H39" i="33"/>
  <c r="H117" i="33"/>
  <c r="H59" i="33"/>
  <c r="H98" i="33"/>
  <c r="H106" i="33"/>
  <c r="H82" i="33"/>
  <c r="H22" i="33"/>
  <c r="H71" i="33"/>
  <c r="H13" i="33"/>
  <c r="H109" i="33"/>
  <c r="H122" i="33"/>
  <c r="H45" i="33"/>
  <c r="H95" i="33"/>
  <c r="H72" i="33"/>
  <c r="H46" i="33"/>
  <c r="H57" i="33"/>
  <c r="H107" i="33"/>
  <c r="H84" i="33"/>
  <c r="H63" i="33"/>
  <c r="H53" i="33"/>
  <c r="H14" i="33"/>
  <c r="H73" i="33"/>
  <c r="H118" i="33"/>
  <c r="H52" i="33"/>
  <c r="H103" i="33"/>
  <c r="H51" i="33"/>
  <c r="H56" i="33"/>
  <c r="H20" i="33"/>
  <c r="H64" i="33"/>
  <c r="H115" i="33"/>
  <c r="H29" i="33"/>
  <c r="H49" i="33"/>
  <c r="H42" i="33"/>
  <c r="H76" i="33"/>
  <c r="H127" i="33"/>
  <c r="H54" i="33"/>
  <c r="H48" i="33"/>
  <c r="H93" i="33"/>
  <c r="H66" i="33"/>
  <c r="H60" i="33"/>
  <c r="H69" i="33"/>
  <c r="H112" i="33"/>
  <c r="H92" i="33"/>
  <c r="H37" i="33"/>
  <c r="H124" i="33"/>
  <c r="P16" i="16"/>
  <c r="P15" i="16"/>
  <c r="P14" i="16"/>
  <c r="P13" i="16"/>
  <c r="P12" i="16"/>
  <c r="P11" i="16"/>
  <c r="P10" i="16"/>
  <c r="P9" i="16"/>
  <c r="I8" i="33" l="1"/>
  <c r="F13" i="31"/>
  <c r="G13" i="31"/>
  <c r="I13" i="31"/>
  <c r="J13" i="31"/>
  <c r="H13" i="31"/>
  <c r="H368" i="33"/>
  <c r="J8" i="33"/>
  <c r="K8" i="33" s="1"/>
  <c r="N23" i="16"/>
  <c r="P23" i="16"/>
  <c r="O23" i="16"/>
  <c r="M23" i="16"/>
  <c r="P24" i="16" l="1"/>
  <c r="D2" i="22"/>
  <c r="D3" i="22" s="1"/>
  <c r="I9" i="33"/>
  <c r="J9" i="33" s="1"/>
  <c r="K9" i="33" s="1"/>
  <c r="N13" i="31"/>
  <c r="G12" i="25" s="1"/>
  <c r="D4" i="22" l="1"/>
  <c r="G6" i="25"/>
  <c r="E6" i="25"/>
  <c r="I10" i="33"/>
  <c r="E11" i="16"/>
  <c r="Q11" i="16"/>
  <c r="E9" i="16"/>
  <c r="Q9" i="16"/>
  <c r="E13" i="16"/>
  <c r="Q13" i="16"/>
  <c r="E15" i="16"/>
  <c r="Q15" i="16"/>
  <c r="E10" i="16"/>
  <c r="Q10" i="16"/>
  <c r="E12" i="16"/>
  <c r="Q12" i="16"/>
  <c r="Q16" i="16"/>
  <c r="E14" i="16"/>
  <c r="Q14" i="16"/>
  <c r="H68" i="22" l="1"/>
  <c r="H111" i="22"/>
  <c r="H88" i="22"/>
  <c r="H97" i="22"/>
  <c r="H102" i="22"/>
  <c r="H113" i="22"/>
  <c r="H112" i="22"/>
  <c r="H75" i="22"/>
  <c r="H77" i="22"/>
  <c r="H119" i="22"/>
  <c r="H76" i="22"/>
  <c r="H101" i="22"/>
  <c r="H80" i="22"/>
  <c r="H106" i="22"/>
  <c r="H108" i="22"/>
  <c r="H110" i="22"/>
  <c r="H71" i="22"/>
  <c r="H79" i="22"/>
  <c r="H117" i="22"/>
  <c r="H82" i="22"/>
  <c r="H84" i="22"/>
  <c r="H126" i="22"/>
  <c r="H83" i="22"/>
  <c r="H98" i="22"/>
  <c r="H95" i="22"/>
  <c r="H90" i="22"/>
  <c r="H103" i="22"/>
  <c r="H127" i="22"/>
  <c r="H121" i="22"/>
  <c r="H114" i="22"/>
  <c r="H86" i="22"/>
  <c r="H89" i="22"/>
  <c r="H87" i="22"/>
  <c r="H123" i="22"/>
  <c r="H92" i="22"/>
  <c r="H104" i="22"/>
  <c r="H74" i="22"/>
  <c r="H96" i="22"/>
  <c r="H122" i="22"/>
  <c r="H99" i="22"/>
  <c r="H116" i="22"/>
  <c r="H69" i="22"/>
  <c r="H120" i="22"/>
  <c r="H125" i="22"/>
  <c r="H100" i="22"/>
  <c r="H78" i="22"/>
  <c r="H93" i="22"/>
  <c r="H70" i="22"/>
  <c r="H107" i="22"/>
  <c r="H73" i="22"/>
  <c r="H91" i="22"/>
  <c r="H109" i="22"/>
  <c r="H105" i="22"/>
  <c r="K7" i="22"/>
  <c r="H124" i="22"/>
  <c r="H115" i="22"/>
  <c r="H72" i="22"/>
  <c r="H85" i="22"/>
  <c r="H118" i="22"/>
  <c r="H94" i="22"/>
  <c r="H81" i="22"/>
  <c r="H140" i="22"/>
  <c r="H139" i="22"/>
  <c r="H133" i="22"/>
  <c r="H145" i="22"/>
  <c r="H147" i="22"/>
  <c r="H137" i="22"/>
  <c r="H129" i="22"/>
  <c r="H141" i="22"/>
  <c r="H130" i="22"/>
  <c r="H135" i="22"/>
  <c r="H142" i="22"/>
  <c r="H136" i="22"/>
  <c r="H131" i="22"/>
  <c r="H146" i="22"/>
  <c r="H143" i="22"/>
  <c r="H149" i="22"/>
  <c r="H132" i="22"/>
  <c r="H128" i="22"/>
  <c r="H144" i="22"/>
  <c r="H151" i="22"/>
  <c r="H148" i="22"/>
  <c r="H134" i="22"/>
  <c r="H138" i="22"/>
  <c r="H150" i="22"/>
  <c r="J10" i="33"/>
  <c r="Q23" i="16"/>
  <c r="V23" i="16" s="1"/>
  <c r="K10" i="33" l="1"/>
  <c r="I11" i="33" l="1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J11" i="33" l="1"/>
  <c r="K11" i="33" l="1"/>
  <c r="R13" i="17"/>
  <c r="Q13" i="17" s="1"/>
  <c r="S13" i="17" s="1"/>
  <c r="T13" i="17" s="1"/>
  <c r="D13" i="20"/>
  <c r="N13" i="20"/>
  <c r="N21" i="20" s="1"/>
  <c r="N23" i="20" s="1"/>
  <c r="E13" i="20"/>
  <c r="E21" i="20" s="1"/>
  <c r="E23" i="20" s="1"/>
  <c r="G13" i="20"/>
  <c r="G21" i="20" s="1"/>
  <c r="G23" i="20" s="1"/>
  <c r="H13" i="20"/>
  <c r="H21" i="20" s="1"/>
  <c r="H23" i="20" s="1"/>
  <c r="I13" i="20"/>
  <c r="I21" i="20" s="1"/>
  <c r="I23" i="20" s="1"/>
  <c r="J13" i="20"/>
  <c r="J21" i="20" s="1"/>
  <c r="J23" i="20" s="1"/>
  <c r="K13" i="20"/>
  <c r="K21" i="20" s="1"/>
  <c r="K23" i="20" s="1"/>
  <c r="F13" i="20"/>
  <c r="F21" i="20" s="1"/>
  <c r="F23" i="20" s="1"/>
  <c r="L13" i="20"/>
  <c r="L21" i="20" s="1"/>
  <c r="L23" i="20" s="1"/>
  <c r="M13" i="20"/>
  <c r="M21" i="20" s="1"/>
  <c r="M23" i="20" s="1"/>
  <c r="O13" i="20"/>
  <c r="O21" i="20" s="1"/>
  <c r="O23" i="20" s="1"/>
  <c r="P18" i="20"/>
  <c r="F9" i="16"/>
  <c r="F10" i="16"/>
  <c r="J10" i="16" s="1"/>
  <c r="F11" i="16"/>
  <c r="J11" i="16" s="1"/>
  <c r="F15" i="16"/>
  <c r="F16" i="16"/>
  <c r="P13" i="20" l="1"/>
  <c r="D21" i="20"/>
  <c r="D23" i="20" s="1"/>
  <c r="K9" i="16"/>
  <c r="I12" i="33"/>
  <c r="K10" i="16"/>
  <c r="J16" i="16"/>
  <c r="J9" i="16"/>
  <c r="F13" i="16"/>
  <c r="K13" i="16" s="1"/>
  <c r="K11" i="16"/>
  <c r="J15" i="16"/>
  <c r="F14" i="16"/>
  <c r="K14" i="16" s="1"/>
  <c r="F12" i="16"/>
  <c r="F23" i="16" s="1"/>
  <c r="K16" i="16"/>
  <c r="K15" i="16"/>
  <c r="D24" i="20" l="1"/>
  <c r="E24" i="20" s="1"/>
  <c r="F24" i="20" s="1"/>
  <c r="G24" i="20" s="1"/>
  <c r="H24" i="20" s="1"/>
  <c r="I24" i="20" s="1"/>
  <c r="J24" i="20" s="1"/>
  <c r="K24" i="20" s="1"/>
  <c r="L24" i="20" s="1"/>
  <c r="M24" i="20" s="1"/>
  <c r="N24" i="20" s="1"/>
  <c r="O24" i="20" s="1"/>
  <c r="P23" i="20"/>
  <c r="J15" i="37"/>
  <c r="I15" i="37"/>
  <c r="H15" i="37"/>
  <c r="G15" i="37"/>
  <c r="F15" i="37"/>
  <c r="J12" i="33"/>
  <c r="J13" i="29"/>
  <c r="I13" i="29"/>
  <c r="H13" i="29"/>
  <c r="G13" i="29"/>
  <c r="F13" i="29"/>
  <c r="J14" i="16"/>
  <c r="J13" i="16"/>
  <c r="K12" i="16"/>
  <c r="J12" i="16"/>
  <c r="N15" i="37" l="1"/>
  <c r="K12" i="33"/>
  <c r="I13" i="33" s="1"/>
  <c r="J13" i="33" s="1"/>
  <c r="K13" i="33" s="1"/>
  <c r="I14" i="33" s="1"/>
  <c r="J14" i="33" s="1"/>
  <c r="K14" i="33" s="1"/>
  <c r="I15" i="33" s="1"/>
  <c r="J15" i="33" s="1"/>
  <c r="K15" i="33" s="1"/>
  <c r="I16" i="33" s="1"/>
  <c r="J16" i="33" s="1"/>
  <c r="K16" i="33" s="1"/>
  <c r="I17" i="33" s="1"/>
  <c r="J17" i="33" s="1"/>
  <c r="K17" i="33" s="1"/>
  <c r="I18" i="33" s="1"/>
  <c r="J18" i="33" s="1"/>
  <c r="K18" i="33" s="1"/>
  <c r="I19" i="33" s="1"/>
  <c r="J19" i="33" s="1"/>
  <c r="K19" i="33" s="1"/>
  <c r="I20" i="33" s="1"/>
  <c r="J20" i="33" s="1"/>
  <c r="K20" i="33" s="1"/>
  <c r="I21" i="33" s="1"/>
  <c r="J21" i="33" s="1"/>
  <c r="K21" i="33" s="1"/>
  <c r="I22" i="33" s="1"/>
  <c r="J22" i="33" s="1"/>
  <c r="K22" i="33" s="1"/>
  <c r="I23" i="33" s="1"/>
  <c r="J23" i="33" s="1"/>
  <c r="K23" i="33" s="1"/>
  <c r="E12" i="25"/>
  <c r="I24" i="33" l="1"/>
  <c r="J24" i="33" s="1"/>
  <c r="K24" i="33" s="1"/>
  <c r="I25" i="33" s="1"/>
  <c r="J25" i="33" s="1"/>
  <c r="K25" i="33" s="1"/>
  <c r="I26" i="33" s="1"/>
  <c r="J26" i="33" s="1"/>
  <c r="K26" i="33" s="1"/>
  <c r="I27" i="33" s="1"/>
  <c r="J27" i="33" s="1"/>
  <c r="K27" i="33" s="1"/>
  <c r="I28" i="33" s="1"/>
  <c r="J28" i="33" s="1"/>
  <c r="K28" i="33" s="1"/>
  <c r="I29" i="33" s="1"/>
  <c r="J29" i="33" s="1"/>
  <c r="K29" i="33" s="1"/>
  <c r="I30" i="33" s="1"/>
  <c r="J30" i="33" s="1"/>
  <c r="K30" i="33" s="1"/>
  <c r="I31" i="33" s="1"/>
  <c r="J31" i="33" s="1"/>
  <c r="K31" i="33" s="1"/>
  <c r="I32" i="33" s="1"/>
  <c r="J32" i="33" s="1"/>
  <c r="K32" i="33" s="1"/>
  <c r="I33" i="33" s="1"/>
  <c r="J33" i="33" s="1"/>
  <c r="K33" i="33" s="1"/>
  <c r="I34" i="33" s="1"/>
  <c r="J34" i="33" s="1"/>
  <c r="K34" i="33" s="1"/>
  <c r="I35" i="33" s="1"/>
  <c r="J35" i="33" s="1"/>
  <c r="K35" i="33" s="1"/>
  <c r="E4" i="20"/>
  <c r="G4" i="17"/>
  <c r="H4" i="17" s="1"/>
  <c r="I4" i="17" s="1"/>
  <c r="I36" i="33" l="1"/>
  <c r="J36" i="33" s="1"/>
  <c r="K36" i="33" s="1"/>
  <c r="I37" i="33" s="1"/>
  <c r="J37" i="33" s="1"/>
  <c r="K37" i="33" s="1"/>
  <c r="I38" i="33" s="1"/>
  <c r="J38" i="33" s="1"/>
  <c r="K38" i="33" s="1"/>
  <c r="H4" i="20"/>
  <c r="G4" i="20"/>
  <c r="F4" i="20"/>
  <c r="J4" i="17"/>
  <c r="K19" i="17" l="1"/>
  <c r="I39" i="33"/>
  <c r="J39" i="33" s="1"/>
  <c r="K39" i="33" s="1"/>
  <c r="I40" i="33" s="1"/>
  <c r="J40" i="33" s="1"/>
  <c r="K40" i="33" s="1"/>
  <c r="L4" i="17"/>
  <c r="G20" i="20"/>
  <c r="F20" i="20"/>
  <c r="E20" i="20"/>
  <c r="I41" i="33" l="1"/>
  <c r="J41" i="33" s="1"/>
  <c r="K41" i="33" s="1"/>
  <c r="I42" i="33" s="1"/>
  <c r="J42" i="33" s="1"/>
  <c r="K42" i="33" s="1"/>
  <c r="I43" i="33" s="1"/>
  <c r="J43" i="33" s="1"/>
  <c r="K43" i="33" s="1"/>
  <c r="I44" i="33" s="1"/>
  <c r="J44" i="33" s="1"/>
  <c r="K44" i="33" s="1"/>
  <c r="I45" i="33" s="1"/>
  <c r="J45" i="33" s="1"/>
  <c r="K45" i="33" s="1"/>
  <c r="N10" i="29"/>
  <c r="V8" i="16"/>
  <c r="V9" i="16"/>
  <c r="V10" i="16"/>
  <c r="V11" i="16"/>
  <c r="V12" i="16"/>
  <c r="V13" i="16"/>
  <c r="V14" i="16"/>
  <c r="V15" i="16"/>
  <c r="V16" i="16"/>
  <c r="G9" i="16"/>
  <c r="G10" i="16"/>
  <c r="L10" i="16" s="1"/>
  <c r="G11" i="16"/>
  <c r="L11" i="16" s="1"/>
  <c r="G12" i="16"/>
  <c r="L12" i="16" s="1"/>
  <c r="G13" i="16"/>
  <c r="G14" i="16"/>
  <c r="I14" i="16" s="1"/>
  <c r="G15" i="16"/>
  <c r="I15" i="16" s="1"/>
  <c r="G16" i="16"/>
  <c r="I16" i="16" s="1"/>
  <c r="L13" i="16"/>
  <c r="G23" i="16" l="1"/>
  <c r="I46" i="33"/>
  <c r="J46" i="33" s="1"/>
  <c r="K46" i="33" s="1"/>
  <c r="I47" i="33" s="1"/>
  <c r="J47" i="33" s="1"/>
  <c r="K47" i="33" s="1"/>
  <c r="I48" i="33" s="1"/>
  <c r="J48" i="33" s="1"/>
  <c r="K48" i="33" s="1"/>
  <c r="I49" i="33" s="1"/>
  <c r="J49" i="33" s="1"/>
  <c r="K49" i="33" s="1"/>
  <c r="I50" i="33" s="1"/>
  <c r="J50" i="33" s="1"/>
  <c r="K50" i="33" s="1"/>
  <c r="I51" i="33" s="1"/>
  <c r="J51" i="33" s="1"/>
  <c r="K51" i="33" s="1"/>
  <c r="I52" i="33" s="1"/>
  <c r="J52" i="33" s="1"/>
  <c r="K52" i="33" s="1"/>
  <c r="I9" i="16"/>
  <c r="I13" i="16"/>
  <c r="I12" i="16"/>
  <c r="L16" i="16"/>
  <c r="I11" i="16"/>
  <c r="L15" i="16"/>
  <c r="I10" i="16"/>
  <c r="L14" i="16"/>
  <c r="L23" i="16" l="1"/>
  <c r="I53" i="33"/>
  <c r="J53" i="33" s="1"/>
  <c r="K53" i="33" s="1"/>
  <c r="I54" i="33" s="1"/>
  <c r="J54" i="33" s="1"/>
  <c r="K54" i="33" s="1"/>
  <c r="I55" i="33" s="1"/>
  <c r="J55" i="33" s="1"/>
  <c r="K55" i="33" s="1"/>
  <c r="I56" i="33" s="1"/>
  <c r="J56" i="33" s="1"/>
  <c r="K56" i="33" s="1"/>
  <c r="I57" i="33" s="1"/>
  <c r="J57" i="33" s="1"/>
  <c r="K57" i="33" s="1"/>
  <c r="I58" i="33" l="1"/>
  <c r="J58" i="33" s="1"/>
  <c r="K58" i="33" s="1"/>
  <c r="I59" i="33" s="1"/>
  <c r="J59" i="33" s="1"/>
  <c r="K59" i="33" s="1"/>
  <c r="I60" i="33" s="1"/>
  <c r="J60" i="33" s="1"/>
  <c r="K60" i="33" s="1"/>
  <c r="I61" i="33" s="1"/>
  <c r="J61" i="33" s="1"/>
  <c r="K61" i="33" s="1"/>
  <c r="I62" i="33" s="1"/>
  <c r="J62" i="33" s="1"/>
  <c r="K62" i="33" s="1"/>
  <c r="I63" i="33" s="1"/>
  <c r="J63" i="33" s="1"/>
  <c r="K63" i="33" s="1"/>
  <c r="I64" i="33" s="1"/>
  <c r="J64" i="33" s="1"/>
  <c r="K64" i="33" s="1"/>
  <c r="I65" i="33" s="1"/>
  <c r="J65" i="33" s="1"/>
  <c r="K65" i="33" s="1"/>
  <c r="I66" i="33" s="1"/>
  <c r="J66" i="33" s="1"/>
  <c r="K66" i="33" s="1"/>
  <c r="I67" i="33" s="1"/>
  <c r="J67" i="33" s="1"/>
  <c r="K67" i="33" s="1"/>
  <c r="J28" i="31" s="1"/>
  <c r="N6" i="29"/>
  <c r="D7" i="20"/>
  <c r="I68" i="33" l="1"/>
  <c r="J68" i="33" s="1"/>
  <c r="K68" i="33" s="1"/>
  <c r="C7" i="20"/>
  <c r="G9" i="22"/>
  <c r="G10" i="22" s="1"/>
  <c r="G11" i="22" s="1"/>
  <c r="G12" i="22" s="1"/>
  <c r="G13" i="22" s="1"/>
  <c r="G14" i="22" s="1"/>
  <c r="G15" i="22" s="1"/>
  <c r="G16" i="22" s="1"/>
  <c r="G17" i="22" s="1"/>
  <c r="G18" i="22" s="1"/>
  <c r="G19" i="22" s="1"/>
  <c r="G20" i="22" s="1"/>
  <c r="G21" i="22" s="1"/>
  <c r="G22" i="22" s="1"/>
  <c r="G23" i="22" s="1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G35" i="22" s="1"/>
  <c r="G36" i="22" s="1"/>
  <c r="G37" i="22" s="1"/>
  <c r="G38" i="22" s="1"/>
  <c r="G39" i="22" s="1"/>
  <c r="G40" i="22" s="1"/>
  <c r="G41" i="22" s="1"/>
  <c r="G42" i="22" s="1"/>
  <c r="G43" i="22" s="1"/>
  <c r="G44" i="22" s="1"/>
  <c r="G45" i="22" s="1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56" i="22" s="1"/>
  <c r="G57" i="22" s="1"/>
  <c r="G58" i="22" s="1"/>
  <c r="G59" i="22" s="1"/>
  <c r="G60" i="22" s="1"/>
  <c r="G61" i="22" s="1"/>
  <c r="G62" i="22" s="1"/>
  <c r="G63" i="22" s="1"/>
  <c r="G64" i="22" s="1"/>
  <c r="G65" i="22" s="1"/>
  <c r="G66" i="22" s="1"/>
  <c r="G67" i="22" s="1"/>
  <c r="G68" i="22" s="1"/>
  <c r="G69" i="22" s="1"/>
  <c r="G70" i="22" s="1"/>
  <c r="G71" i="22" s="1"/>
  <c r="G72" i="22" s="1"/>
  <c r="G73" i="22" s="1"/>
  <c r="G74" i="22" s="1"/>
  <c r="G75" i="22" s="1"/>
  <c r="G76" i="22" s="1"/>
  <c r="G77" i="22" s="1"/>
  <c r="G78" i="22" s="1"/>
  <c r="G79" i="22" s="1"/>
  <c r="G80" i="22" s="1"/>
  <c r="G81" i="22" s="1"/>
  <c r="G82" i="22" s="1"/>
  <c r="G83" i="22" s="1"/>
  <c r="G84" i="22" s="1"/>
  <c r="G85" i="22" s="1"/>
  <c r="G86" i="22" s="1"/>
  <c r="G87" i="22" s="1"/>
  <c r="G88" i="22" s="1"/>
  <c r="G89" i="22" s="1"/>
  <c r="G90" i="22" s="1"/>
  <c r="G91" i="22" s="1"/>
  <c r="G92" i="22" s="1"/>
  <c r="G93" i="22" s="1"/>
  <c r="G94" i="22" s="1"/>
  <c r="G95" i="22" s="1"/>
  <c r="G96" i="22" s="1"/>
  <c r="G97" i="22" s="1"/>
  <c r="G98" i="22" s="1"/>
  <c r="G99" i="22" s="1"/>
  <c r="G100" i="22" s="1"/>
  <c r="G101" i="22" s="1"/>
  <c r="G102" i="22" s="1"/>
  <c r="G103" i="22" s="1"/>
  <c r="G104" i="22" s="1"/>
  <c r="G105" i="22" s="1"/>
  <c r="G106" i="22" s="1"/>
  <c r="G107" i="22" s="1"/>
  <c r="G108" i="22" s="1"/>
  <c r="G109" i="22" s="1"/>
  <c r="G110" i="22" s="1"/>
  <c r="G111" i="22" s="1"/>
  <c r="G112" i="22" s="1"/>
  <c r="G113" i="22" s="1"/>
  <c r="G114" i="22" s="1"/>
  <c r="G115" i="22" s="1"/>
  <c r="G116" i="22" s="1"/>
  <c r="G117" i="22" s="1"/>
  <c r="G118" i="22" s="1"/>
  <c r="G119" i="22" s="1"/>
  <c r="G120" i="22" s="1"/>
  <c r="G121" i="22" s="1"/>
  <c r="G122" i="22" s="1"/>
  <c r="G123" i="22" s="1"/>
  <c r="G124" i="22" s="1"/>
  <c r="G125" i="22" s="1"/>
  <c r="G126" i="22" s="1"/>
  <c r="G127" i="22" s="1"/>
  <c r="G128" i="22" s="1"/>
  <c r="G129" i="22" s="1"/>
  <c r="G130" i="22" s="1"/>
  <c r="G131" i="22" s="1"/>
  <c r="G132" i="22" s="1"/>
  <c r="G133" i="22" s="1"/>
  <c r="G134" i="22" s="1"/>
  <c r="G135" i="22" s="1"/>
  <c r="G136" i="22" s="1"/>
  <c r="G137" i="22" s="1"/>
  <c r="G138" i="22" s="1"/>
  <c r="G139" i="22" s="1"/>
  <c r="G140" i="22" s="1"/>
  <c r="G141" i="22" s="1"/>
  <c r="G142" i="22" s="1"/>
  <c r="G143" i="22" s="1"/>
  <c r="G144" i="22" s="1"/>
  <c r="G145" i="22" s="1"/>
  <c r="G146" i="22" s="1"/>
  <c r="G147" i="22" s="1"/>
  <c r="G148" i="22" s="1"/>
  <c r="G149" i="22" s="1"/>
  <c r="G150" i="22" s="1"/>
  <c r="G151" i="22" s="1"/>
  <c r="G152" i="22" s="1"/>
  <c r="G153" i="22" s="1"/>
  <c r="G154" i="22" s="1"/>
  <c r="G155" i="22" s="1"/>
  <c r="G156" i="22" s="1"/>
  <c r="G157" i="22" s="1"/>
  <c r="G158" i="22" s="1"/>
  <c r="G159" i="22" s="1"/>
  <c r="G160" i="22" s="1"/>
  <c r="G161" i="22" s="1"/>
  <c r="G162" i="22" s="1"/>
  <c r="G163" i="22" s="1"/>
  <c r="G164" i="22" s="1"/>
  <c r="G165" i="22" s="1"/>
  <c r="G166" i="22" s="1"/>
  <c r="G167" i="22" s="1"/>
  <c r="G168" i="22" s="1"/>
  <c r="G169" i="22" s="1"/>
  <c r="G170" i="22" s="1"/>
  <c r="G171" i="22" s="1"/>
  <c r="G172" i="22" s="1"/>
  <c r="G173" i="22" s="1"/>
  <c r="G174" i="22" s="1"/>
  <c r="G175" i="22" s="1"/>
  <c r="G176" i="22" s="1"/>
  <c r="G177" i="22" s="1"/>
  <c r="G178" i="22" s="1"/>
  <c r="G179" i="22" s="1"/>
  <c r="G180" i="22" s="1"/>
  <c r="G181" i="22" s="1"/>
  <c r="G182" i="22" s="1"/>
  <c r="G183" i="22" s="1"/>
  <c r="G184" i="22" s="1"/>
  <c r="G185" i="22" s="1"/>
  <c r="G186" i="22" s="1"/>
  <c r="G187" i="22" s="1"/>
  <c r="G188" i="22" s="1"/>
  <c r="G189" i="22" s="1"/>
  <c r="G190" i="22" s="1"/>
  <c r="G191" i="22" s="1"/>
  <c r="G192" i="22" s="1"/>
  <c r="G193" i="22" s="1"/>
  <c r="G194" i="22" s="1"/>
  <c r="G195" i="22" s="1"/>
  <c r="G196" i="22" s="1"/>
  <c r="G197" i="22" s="1"/>
  <c r="G198" i="22" s="1"/>
  <c r="G199" i="22" s="1"/>
  <c r="G200" i="22" s="1"/>
  <c r="G201" i="22" s="1"/>
  <c r="G202" i="22" s="1"/>
  <c r="G203" i="22" s="1"/>
  <c r="G204" i="22" s="1"/>
  <c r="G205" i="22" s="1"/>
  <c r="G206" i="22" s="1"/>
  <c r="G207" i="22" s="1"/>
  <c r="G208" i="22" s="1"/>
  <c r="G209" i="22" s="1"/>
  <c r="G210" i="22" s="1"/>
  <c r="G211" i="22" s="1"/>
  <c r="G212" i="22" s="1"/>
  <c r="G213" i="22" s="1"/>
  <c r="G214" i="22" s="1"/>
  <c r="G215" i="22" s="1"/>
  <c r="G216" i="22" s="1"/>
  <c r="G217" i="22" s="1"/>
  <c r="G218" i="22" s="1"/>
  <c r="G219" i="22" s="1"/>
  <c r="G220" i="22" s="1"/>
  <c r="G221" i="22" s="1"/>
  <c r="G222" i="22" s="1"/>
  <c r="G223" i="22" s="1"/>
  <c r="G224" i="22" s="1"/>
  <c r="G225" i="22" s="1"/>
  <c r="G226" i="22" s="1"/>
  <c r="G227" i="22" s="1"/>
  <c r="G228" i="22" s="1"/>
  <c r="G229" i="22" s="1"/>
  <c r="G230" i="22" s="1"/>
  <c r="G231" i="22" s="1"/>
  <c r="G232" i="22" s="1"/>
  <c r="G233" i="22" s="1"/>
  <c r="G234" i="22" s="1"/>
  <c r="G235" i="22" s="1"/>
  <c r="G236" i="22" s="1"/>
  <c r="G237" i="22" s="1"/>
  <c r="G238" i="22" s="1"/>
  <c r="G239" i="22" s="1"/>
  <c r="G240" i="22" s="1"/>
  <c r="G241" i="22" s="1"/>
  <c r="G242" i="22" s="1"/>
  <c r="G243" i="22" s="1"/>
  <c r="G244" i="22" s="1"/>
  <c r="G245" i="22" s="1"/>
  <c r="G246" i="22" s="1"/>
  <c r="G247" i="22" s="1"/>
  <c r="G13" i="25" l="1"/>
  <c r="I69" i="33"/>
  <c r="J69" i="33" s="1"/>
  <c r="K69" i="33" s="1"/>
  <c r="P14" i="20"/>
  <c r="E14" i="29" l="1"/>
  <c r="E16" i="37"/>
  <c r="E14" i="31"/>
  <c r="J20" i="37"/>
  <c r="I20" i="37"/>
  <c r="H20" i="37"/>
  <c r="G20" i="37"/>
  <c r="F20" i="37"/>
  <c r="F18" i="31"/>
  <c r="J18" i="31"/>
  <c r="I18" i="31"/>
  <c r="G18" i="31"/>
  <c r="H18" i="31"/>
  <c r="I70" i="33"/>
  <c r="J70" i="33" s="1"/>
  <c r="K70" i="33" s="1"/>
  <c r="I71" i="33" s="1"/>
  <c r="J71" i="33" s="1"/>
  <c r="K71" i="33" s="1"/>
  <c r="I72" i="33" s="1"/>
  <c r="J72" i="33" s="1"/>
  <c r="K72" i="33" s="1"/>
  <c r="I73" i="33" s="1"/>
  <c r="J73" i="33" s="1"/>
  <c r="K73" i="33" s="1"/>
  <c r="I74" i="33" s="1"/>
  <c r="J74" i="33" s="1"/>
  <c r="K74" i="33" s="1"/>
  <c r="H18" i="29"/>
  <c r="I18" i="29"/>
  <c r="J18" i="29"/>
  <c r="F18" i="29"/>
  <c r="G18" i="29"/>
  <c r="N20" i="37" l="1"/>
  <c r="N18" i="29"/>
  <c r="I75" i="33"/>
  <c r="J75" i="33" s="1"/>
  <c r="K75" i="33" s="1"/>
  <c r="I76" i="33" s="1"/>
  <c r="J76" i="33" s="1"/>
  <c r="K76" i="33" s="1"/>
  <c r="N18" i="31"/>
  <c r="N14" i="31"/>
  <c r="E22" i="31"/>
  <c r="E24" i="31" s="1"/>
  <c r="E25" i="31" s="1"/>
  <c r="N16" i="37"/>
  <c r="E24" i="37"/>
  <c r="E26" i="37" s="1"/>
  <c r="N14" i="29"/>
  <c r="E35" i="31" l="1"/>
  <c r="E36" i="31" s="1"/>
  <c r="I77" i="33"/>
  <c r="J77" i="33" s="1"/>
  <c r="K77" i="33" s="1"/>
  <c r="I78" i="33" s="1"/>
  <c r="J78" i="33" s="1"/>
  <c r="K78" i="33" s="1"/>
  <c r="I79" i="33" s="1"/>
  <c r="J79" i="33" s="1"/>
  <c r="K79" i="33" s="1"/>
  <c r="F16" i="29"/>
  <c r="N16" i="29" s="1"/>
  <c r="F18" i="37"/>
  <c r="N18" i="37" s="1"/>
  <c r="F16" i="31"/>
  <c r="N16" i="31" s="1"/>
  <c r="E27" i="37"/>
  <c r="P12" i="20"/>
  <c r="P17" i="20"/>
  <c r="F11" i="29" l="1"/>
  <c r="P21" i="20"/>
  <c r="F17" i="29"/>
  <c r="N17" i="29" s="1"/>
  <c r="F19" i="37"/>
  <c r="N19" i="37" s="1"/>
  <c r="F17" i="31"/>
  <c r="N17" i="31" s="1"/>
  <c r="I80" i="33"/>
  <c r="J80" i="33" s="1"/>
  <c r="K80" i="33" s="1"/>
  <c r="I81" i="33" s="1"/>
  <c r="J81" i="33" s="1"/>
  <c r="K81" i="33" s="1"/>
  <c r="J13" i="37"/>
  <c r="H13" i="37"/>
  <c r="G13" i="37"/>
  <c r="F13" i="37"/>
  <c r="I13" i="37"/>
  <c r="J11" i="31"/>
  <c r="I11" i="31"/>
  <c r="H11" i="31"/>
  <c r="G11" i="31"/>
  <c r="F11" i="31"/>
  <c r="E37" i="37"/>
  <c r="H11" i="29"/>
  <c r="I11" i="29"/>
  <c r="J11" i="29"/>
  <c r="G11" i="29"/>
  <c r="D5" i="30"/>
  <c r="E7" i="30" l="1"/>
  <c r="E5" i="30"/>
  <c r="I82" i="33"/>
  <c r="J82" i="33" s="1"/>
  <c r="K82" i="33" s="1"/>
  <c r="I83" i="33" s="1"/>
  <c r="J83" i="33" s="1"/>
  <c r="K83" i="33" s="1"/>
  <c r="I84" i="33" s="1"/>
  <c r="J84" i="33" s="1"/>
  <c r="K84" i="33" s="1"/>
  <c r="I85" i="33" s="1"/>
  <c r="J85" i="33" s="1"/>
  <c r="K85" i="33" s="1"/>
  <c r="I86" i="33" s="1"/>
  <c r="J86" i="33" s="1"/>
  <c r="K86" i="33" s="1"/>
  <c r="I87" i="33" s="1"/>
  <c r="J87" i="33" s="1"/>
  <c r="K87" i="33" s="1"/>
  <c r="I88" i="33" s="1"/>
  <c r="J88" i="33" s="1"/>
  <c r="K88" i="33" s="1"/>
  <c r="N11" i="31"/>
  <c r="N13" i="37"/>
  <c r="F5" i="29"/>
  <c r="F7" i="37"/>
  <c r="N7" i="37" s="1"/>
  <c r="F5" i="31"/>
  <c r="N5" i="31" s="1"/>
  <c r="E38" i="37"/>
  <c r="E9" i="25"/>
  <c r="F6" i="37"/>
  <c r="F4" i="31"/>
  <c r="N33" i="29"/>
  <c r="N11" i="29"/>
  <c r="F7" i="20"/>
  <c r="P5" i="20"/>
  <c r="E7" i="20"/>
  <c r="F7" i="30" l="1"/>
  <c r="F5" i="30"/>
  <c r="G7" i="30" s="1"/>
  <c r="G8" i="30" s="1"/>
  <c r="K20" i="20"/>
  <c r="L20" i="20" s="1"/>
  <c r="M20" i="20" s="1"/>
  <c r="N20" i="20" s="1"/>
  <c r="O20" i="20" s="1"/>
  <c r="I22" i="37" s="1"/>
  <c r="J22" i="37"/>
  <c r="H20" i="31"/>
  <c r="G20" i="31"/>
  <c r="N4" i="31"/>
  <c r="G9" i="25"/>
  <c r="I89" i="33"/>
  <c r="J89" i="33" s="1"/>
  <c r="K89" i="33" s="1"/>
  <c r="I90" i="33" s="1"/>
  <c r="J90" i="33" s="1"/>
  <c r="K90" i="33" s="1"/>
  <c r="I91" i="33" s="1"/>
  <c r="J91" i="33" s="1"/>
  <c r="K91" i="33" s="1"/>
  <c r="I92" i="33" s="1"/>
  <c r="J92" i="33" s="1"/>
  <c r="K92" i="33" s="1"/>
  <c r="I93" i="33" s="1"/>
  <c r="J93" i="33" s="1"/>
  <c r="K93" i="33" s="1"/>
  <c r="I94" i="33" s="1"/>
  <c r="J94" i="33" s="1"/>
  <c r="K94" i="33" s="1"/>
  <c r="I95" i="33" s="1"/>
  <c r="J95" i="33" s="1"/>
  <c r="K95" i="33" s="1"/>
  <c r="I96" i="33" s="1"/>
  <c r="J96" i="33" s="1"/>
  <c r="K96" i="33" s="1"/>
  <c r="I97" i="33" s="1"/>
  <c r="J97" i="33" s="1"/>
  <c r="K97" i="33" s="1"/>
  <c r="I98" i="33" s="1"/>
  <c r="J98" i="33" s="1"/>
  <c r="K98" i="33" s="1"/>
  <c r="N6" i="37"/>
  <c r="I20" i="29"/>
  <c r="J20" i="29"/>
  <c r="H20" i="29"/>
  <c r="G20" i="29"/>
  <c r="L33" i="29"/>
  <c r="L35" i="29" s="1"/>
  <c r="N4" i="29"/>
  <c r="G7" i="20"/>
  <c r="L19" i="17"/>
  <c r="I20" i="31" l="1"/>
  <c r="J20" i="31"/>
  <c r="G22" i="37"/>
  <c r="H22" i="37"/>
  <c r="I99" i="33"/>
  <c r="J99" i="33" s="1"/>
  <c r="K99" i="33" s="1"/>
  <c r="I100" i="33" s="1"/>
  <c r="J100" i="33" s="1"/>
  <c r="K100" i="33" s="1"/>
  <c r="G22" i="31"/>
  <c r="G5" i="30"/>
  <c r="N5" i="29"/>
  <c r="F15" i="29" l="1"/>
  <c r="N15" i="29" s="1"/>
  <c r="F17" i="37"/>
  <c r="F15" i="31"/>
  <c r="I101" i="33"/>
  <c r="J101" i="33" s="1"/>
  <c r="K101" i="33" s="1"/>
  <c r="I102" i="33" s="1"/>
  <c r="J102" i="33" s="1"/>
  <c r="K102" i="33" s="1"/>
  <c r="I103" i="33" s="1"/>
  <c r="J103" i="33" s="1"/>
  <c r="K103" i="33" s="1"/>
  <c r="F20" i="29"/>
  <c r="F27" i="29" s="1"/>
  <c r="G27" i="29" s="1"/>
  <c r="H27" i="29" s="1"/>
  <c r="I27" i="29" s="1"/>
  <c r="J27" i="29" s="1"/>
  <c r="F22" i="37"/>
  <c r="F20" i="31"/>
  <c r="H5" i="30"/>
  <c r="H7" i="30"/>
  <c r="H7" i="20"/>
  <c r="H58" i="22"/>
  <c r="H46" i="22"/>
  <c r="H34" i="22"/>
  <c r="H22" i="22"/>
  <c r="H10" i="22"/>
  <c r="H42" i="22"/>
  <c r="H65" i="22"/>
  <c r="H16" i="22"/>
  <c r="H15" i="22"/>
  <c r="H26" i="22"/>
  <c r="H37" i="22"/>
  <c r="H57" i="22"/>
  <c r="H45" i="22"/>
  <c r="H33" i="22"/>
  <c r="H21" i="22"/>
  <c r="H9" i="22"/>
  <c r="H66" i="22"/>
  <c r="H18" i="22"/>
  <c r="H17" i="22"/>
  <c r="H52" i="22"/>
  <c r="H27" i="22"/>
  <c r="H50" i="22"/>
  <c r="H49" i="22"/>
  <c r="H56" i="22"/>
  <c r="H44" i="22"/>
  <c r="H32" i="22"/>
  <c r="H20" i="22"/>
  <c r="H30" i="22"/>
  <c r="H53" i="22"/>
  <c r="H64" i="22"/>
  <c r="H63" i="22"/>
  <c r="H14" i="22"/>
  <c r="H13" i="22"/>
  <c r="H67" i="22"/>
  <c r="H55" i="22"/>
  <c r="H43" i="22"/>
  <c r="H31" i="22"/>
  <c r="H19" i="22"/>
  <c r="H54" i="22"/>
  <c r="H29" i="22"/>
  <c r="H40" i="22"/>
  <c r="H51" i="22"/>
  <c r="H62" i="22"/>
  <c r="H61" i="22"/>
  <c r="H60" i="22"/>
  <c r="H48" i="22"/>
  <c r="H36" i="22"/>
  <c r="H24" i="22"/>
  <c r="H12" i="22"/>
  <c r="H59" i="22"/>
  <c r="H47" i="22"/>
  <c r="H35" i="22"/>
  <c r="H23" i="22"/>
  <c r="H11" i="22"/>
  <c r="H41" i="22"/>
  <c r="H28" i="22"/>
  <c r="H39" i="22"/>
  <c r="H38" i="22"/>
  <c r="H25" i="22"/>
  <c r="I104" i="33" l="1"/>
  <c r="J104" i="33" s="1"/>
  <c r="K104" i="33" s="1"/>
  <c r="I105" i="33" s="1"/>
  <c r="J105" i="33" s="1"/>
  <c r="K105" i="33" s="1"/>
  <c r="N22" i="37"/>
  <c r="F29" i="37"/>
  <c r="G29" i="37" s="1"/>
  <c r="H29" i="37" s="1"/>
  <c r="I29" i="37" s="1"/>
  <c r="N15" i="31"/>
  <c r="F22" i="31"/>
  <c r="N17" i="37"/>
  <c r="G27" i="31"/>
  <c r="H27" i="31" s="1"/>
  <c r="I27" i="31" s="1"/>
  <c r="N20" i="31"/>
  <c r="I7" i="30"/>
  <c r="I5" i="30"/>
  <c r="N20" i="29"/>
  <c r="I7" i="20"/>
  <c r="N22" i="31" l="1"/>
  <c r="I106" i="33"/>
  <c r="J106" i="33" s="1"/>
  <c r="K106" i="33" s="1"/>
  <c r="I107" i="33" s="1"/>
  <c r="J107" i="33" s="1"/>
  <c r="K107" i="33" s="1"/>
  <c r="I108" i="33" s="1"/>
  <c r="J108" i="33" s="1"/>
  <c r="K108" i="33" s="1"/>
  <c r="I109" i="33" s="1"/>
  <c r="J109" i="33" s="1"/>
  <c r="K109" i="33" s="1"/>
  <c r="I110" i="33" s="1"/>
  <c r="J110" i="33" s="1"/>
  <c r="K110" i="33" s="1"/>
  <c r="J5" i="30"/>
  <c r="J7" i="30"/>
  <c r="J8" i="30" s="1"/>
  <c r="K4" i="20"/>
  <c r="J7" i="20"/>
  <c r="I111" i="33" l="1"/>
  <c r="J111" i="33" s="1"/>
  <c r="K111" i="33" s="1"/>
  <c r="I112" i="33" s="1"/>
  <c r="J112" i="33" s="1"/>
  <c r="K112" i="33" s="1"/>
  <c r="K5" i="30"/>
  <c r="K7" i="30"/>
  <c r="L4" i="20"/>
  <c r="K7" i="20"/>
  <c r="I113" i="33" l="1"/>
  <c r="J113" i="33" s="1"/>
  <c r="K113" i="33" s="1"/>
  <c r="I114" i="33" s="1"/>
  <c r="J114" i="33" s="1"/>
  <c r="K114" i="33" s="1"/>
  <c r="I115" i="33" s="1"/>
  <c r="J115" i="33" s="1"/>
  <c r="K115" i="33" s="1"/>
  <c r="I116" i="33" s="1"/>
  <c r="J116" i="33" s="1"/>
  <c r="K116" i="33" s="1"/>
  <c r="I117" i="33" s="1"/>
  <c r="J117" i="33" s="1"/>
  <c r="K117" i="33" s="1"/>
  <c r="I118" i="33" s="1"/>
  <c r="J118" i="33" s="1"/>
  <c r="K118" i="33" s="1"/>
  <c r="I119" i="33" s="1"/>
  <c r="J119" i="33" s="1"/>
  <c r="K119" i="33" s="1"/>
  <c r="I120" i="33" s="1"/>
  <c r="J120" i="33" s="1"/>
  <c r="K120" i="33" s="1"/>
  <c r="I121" i="33" s="1"/>
  <c r="J121" i="33" s="1"/>
  <c r="K121" i="33" s="1"/>
  <c r="I122" i="33" s="1"/>
  <c r="J122" i="33" s="1"/>
  <c r="K122" i="33" s="1"/>
  <c r="L5" i="30"/>
  <c r="L7" i="30"/>
  <c r="M4" i="20"/>
  <c r="L7" i="20"/>
  <c r="I123" i="33" l="1"/>
  <c r="J123" i="33" s="1"/>
  <c r="K123" i="33" s="1"/>
  <c r="I124" i="33" s="1"/>
  <c r="J124" i="33" s="1"/>
  <c r="K124" i="33" s="1"/>
  <c r="I125" i="33" s="1"/>
  <c r="J125" i="33" s="1"/>
  <c r="K125" i="33" s="1"/>
  <c r="I126" i="33" s="1"/>
  <c r="J126" i="33" s="1"/>
  <c r="K126" i="33" s="1"/>
  <c r="M5" i="30"/>
  <c r="M7" i="30"/>
  <c r="M8" i="30" s="1"/>
  <c r="O9" i="30" s="1"/>
  <c r="N4" i="20"/>
  <c r="M7" i="20"/>
  <c r="I127" i="33" l="1"/>
  <c r="J127" i="33" s="1"/>
  <c r="K127" i="33" s="1"/>
  <c r="N5" i="30"/>
  <c r="N7" i="30"/>
  <c r="O4" i="20"/>
  <c r="N7" i="20"/>
  <c r="F19" i="29" l="1"/>
  <c r="F21" i="37"/>
  <c r="I5" i="37"/>
  <c r="I9" i="37" s="1"/>
  <c r="H5" i="37"/>
  <c r="H9" i="37" s="1"/>
  <c r="G5" i="37"/>
  <c r="G9" i="37" s="1"/>
  <c r="J5" i="37"/>
  <c r="J9" i="37" s="1"/>
  <c r="J3" i="31"/>
  <c r="J7" i="31" s="1"/>
  <c r="H3" i="31"/>
  <c r="H7" i="31" s="1"/>
  <c r="I3" i="31"/>
  <c r="I7" i="31" s="1"/>
  <c r="G3" i="31"/>
  <c r="G7" i="31" s="1"/>
  <c r="G24" i="31" s="1"/>
  <c r="G35" i="31" s="1"/>
  <c r="I128" i="33"/>
  <c r="J128" i="33" s="1"/>
  <c r="K128" i="33" s="1"/>
  <c r="I129" i="33" s="1"/>
  <c r="J129" i="33" s="1"/>
  <c r="K129" i="33" s="1"/>
  <c r="I130" i="33" s="1"/>
  <c r="J130" i="33" s="1"/>
  <c r="K130" i="33" s="1"/>
  <c r="H3" i="29"/>
  <c r="I3" i="29"/>
  <c r="J3" i="29"/>
  <c r="O7" i="30"/>
  <c r="O5" i="30"/>
  <c r="P5" i="30" s="1"/>
  <c r="Q7" i="30" s="1"/>
  <c r="O7" i="20"/>
  <c r="P4" i="20"/>
  <c r="F22" i="29" l="1"/>
  <c r="F24" i="29" s="1"/>
  <c r="F25" i="29" s="1"/>
  <c r="F24" i="37"/>
  <c r="I131" i="33"/>
  <c r="J131" i="33" s="1"/>
  <c r="K131" i="33" s="1"/>
  <c r="F3" i="29"/>
  <c r="F5" i="37"/>
  <c r="N5" i="37" s="1"/>
  <c r="F3" i="31"/>
  <c r="P7" i="30"/>
  <c r="P8" i="30" s="1"/>
  <c r="P7" i="20"/>
  <c r="F35" i="29" l="1"/>
  <c r="F36" i="29" s="1"/>
  <c r="I132" i="33"/>
  <c r="J132" i="33" s="1"/>
  <c r="K132" i="33" s="1"/>
  <c r="I133" i="33" s="1"/>
  <c r="J133" i="33" s="1"/>
  <c r="K133" i="33" s="1"/>
  <c r="I134" i="33" s="1"/>
  <c r="J134" i="33" s="1"/>
  <c r="K134" i="33" s="1"/>
  <c r="I135" i="33" s="1"/>
  <c r="J135" i="33" s="1"/>
  <c r="K135" i="33" s="1"/>
  <c r="I136" i="33" s="1"/>
  <c r="J136" i="33" s="1"/>
  <c r="K136" i="33" s="1"/>
  <c r="N9" i="37"/>
  <c r="F9" i="37"/>
  <c r="F26" i="37" s="1"/>
  <c r="F7" i="31"/>
  <c r="F24" i="31" s="1"/>
  <c r="N7" i="31"/>
  <c r="Q5" i="30"/>
  <c r="I137" i="33" l="1"/>
  <c r="J137" i="33" s="1"/>
  <c r="K137" i="33" s="1"/>
  <c r="I138" i="33" s="1"/>
  <c r="J138" i="33" s="1"/>
  <c r="K138" i="33" s="1"/>
  <c r="I139" i="33" s="1"/>
  <c r="J139" i="33" s="1"/>
  <c r="K139" i="33" s="1"/>
  <c r="I140" i="33" s="1"/>
  <c r="J140" i="33" s="1"/>
  <c r="K140" i="33" s="1"/>
  <c r="I141" i="33" s="1"/>
  <c r="J141" i="33" s="1"/>
  <c r="K141" i="33" s="1"/>
  <c r="F35" i="31"/>
  <c r="F36" i="31" s="1"/>
  <c r="G36" i="31" s="1"/>
  <c r="F25" i="31"/>
  <c r="G25" i="31" s="1"/>
  <c r="F37" i="37"/>
  <c r="F27" i="37"/>
  <c r="R5" i="30"/>
  <c r="S7" i="30" s="1"/>
  <c r="R7" i="30"/>
  <c r="S8" i="30" l="1"/>
  <c r="I142" i="33"/>
  <c r="J142" i="33" s="1"/>
  <c r="K142" i="33" s="1"/>
  <c r="I143" i="33" s="1"/>
  <c r="J143" i="33" s="1"/>
  <c r="K143" i="33" s="1"/>
  <c r="I144" i="33" s="1"/>
  <c r="J144" i="33" s="1"/>
  <c r="K144" i="33" s="1"/>
  <c r="I145" i="33" s="1"/>
  <c r="J145" i="33" s="1"/>
  <c r="K145" i="33" s="1"/>
  <c r="I146" i="33" s="1"/>
  <c r="J146" i="33" s="1"/>
  <c r="K146" i="33" s="1"/>
  <c r="I147" i="33" s="1"/>
  <c r="J147" i="33" s="1"/>
  <c r="K147" i="33" s="1"/>
  <c r="I148" i="33" s="1"/>
  <c r="J148" i="33" s="1"/>
  <c r="K148" i="33" s="1"/>
  <c r="I149" i="33" s="1"/>
  <c r="J149" i="33" s="1"/>
  <c r="K149" i="33" s="1"/>
  <c r="I150" i="33" s="1"/>
  <c r="J150" i="33" s="1"/>
  <c r="K150" i="33" s="1"/>
  <c r="I151" i="33" s="1"/>
  <c r="J151" i="33" s="1"/>
  <c r="K151" i="33" s="1"/>
  <c r="I152" i="33" s="1"/>
  <c r="J152" i="33" s="1"/>
  <c r="K152" i="33" s="1"/>
  <c r="I153" i="33" s="1"/>
  <c r="J153" i="33" s="1"/>
  <c r="K153" i="33" s="1"/>
  <c r="I154" i="33" s="1"/>
  <c r="J154" i="33" s="1"/>
  <c r="K154" i="33" s="1"/>
  <c r="I155" i="33" s="1"/>
  <c r="J155" i="33" s="1"/>
  <c r="K155" i="33" s="1"/>
  <c r="I156" i="33" s="1"/>
  <c r="J156" i="33" s="1"/>
  <c r="K156" i="33" s="1"/>
  <c r="I157" i="33" s="1"/>
  <c r="J157" i="33" s="1"/>
  <c r="K157" i="33" s="1"/>
  <c r="I158" i="33" s="1"/>
  <c r="J158" i="33" s="1"/>
  <c r="K158" i="33" s="1"/>
  <c r="I159" i="33" s="1"/>
  <c r="J159" i="33" s="1"/>
  <c r="K159" i="33" s="1"/>
  <c r="I160" i="33" s="1"/>
  <c r="J160" i="33" s="1"/>
  <c r="K160" i="33" s="1"/>
  <c r="I161" i="33" s="1"/>
  <c r="J161" i="33" s="1"/>
  <c r="K161" i="33" s="1"/>
  <c r="I162" i="33" s="1"/>
  <c r="J162" i="33" s="1"/>
  <c r="K162" i="33" s="1"/>
  <c r="I163" i="33" s="1"/>
  <c r="J163" i="33" s="1"/>
  <c r="K163" i="33" s="1"/>
  <c r="I164" i="33" s="1"/>
  <c r="J164" i="33" s="1"/>
  <c r="K164" i="33" s="1"/>
  <c r="I165" i="33" s="1"/>
  <c r="J165" i="33" s="1"/>
  <c r="K165" i="33" s="1"/>
  <c r="I166" i="33" s="1"/>
  <c r="J166" i="33" s="1"/>
  <c r="K166" i="33" s="1"/>
  <c r="F38" i="37"/>
  <c r="S5" i="30"/>
  <c r="I167" i="33" l="1"/>
  <c r="J167" i="33" s="1"/>
  <c r="K167" i="33"/>
  <c r="N7" i="29"/>
  <c r="E11" i="25"/>
  <c r="T5" i="30"/>
  <c r="T7" i="30"/>
  <c r="I168" i="33" l="1"/>
  <c r="J168" i="33" s="1"/>
  <c r="K168" i="33" s="1"/>
  <c r="U5" i="30"/>
  <c r="U7" i="30"/>
  <c r="I169" i="33" l="1"/>
  <c r="J169" i="33" s="1"/>
  <c r="K169" i="33" s="1"/>
  <c r="I170" i="33" s="1"/>
  <c r="J170" i="33" s="1"/>
  <c r="K170" i="33" s="1"/>
  <c r="I171" i="33" s="1"/>
  <c r="J171" i="33" s="1"/>
  <c r="K171" i="33" s="1"/>
  <c r="I172" i="33" s="1"/>
  <c r="J172" i="33" s="1"/>
  <c r="K172" i="33" s="1"/>
  <c r="I173" i="33" s="1"/>
  <c r="J173" i="33" s="1"/>
  <c r="K173" i="33" s="1"/>
  <c r="I174" i="33" s="1"/>
  <c r="J174" i="33" s="1"/>
  <c r="K174" i="33" s="1"/>
  <c r="V5" i="30"/>
  <c r="V7" i="30"/>
  <c r="V8" i="30" s="1"/>
  <c r="H368" i="22"/>
  <c r="I175" i="33" l="1"/>
  <c r="J175" i="33" s="1"/>
  <c r="K175" i="33" s="1"/>
  <c r="I176" i="33" s="1"/>
  <c r="J176" i="33" s="1"/>
  <c r="K176" i="33" s="1"/>
  <c r="I177" i="33" s="1"/>
  <c r="J177" i="33" s="1"/>
  <c r="K177" i="33" s="1"/>
  <c r="I178" i="33" s="1"/>
  <c r="J178" i="33" s="1"/>
  <c r="K178" i="33" s="1"/>
  <c r="W5" i="30"/>
  <c r="W7" i="30"/>
  <c r="K8" i="22"/>
  <c r="I9" i="22" s="1"/>
  <c r="J9" i="22" s="1"/>
  <c r="I179" i="33" l="1"/>
  <c r="J179" i="33" s="1"/>
  <c r="K179" i="33" s="1"/>
  <c r="X5" i="30"/>
  <c r="X7" i="30"/>
  <c r="Q13" i="20"/>
  <c r="K9" i="22"/>
  <c r="I10" i="22" s="1"/>
  <c r="J10" i="22" s="1"/>
  <c r="K10" i="22" s="1"/>
  <c r="I11" i="22" s="1"/>
  <c r="I180" i="33" l="1"/>
  <c r="J180" i="33" s="1"/>
  <c r="K180" i="33" s="1"/>
  <c r="Y5" i="30"/>
  <c r="Y7" i="30"/>
  <c r="Y8" i="30" s="1"/>
  <c r="AA9" i="30" s="1"/>
  <c r="J11" i="22"/>
  <c r="K11" i="22" s="1"/>
  <c r="I12" i="22" s="1"/>
  <c r="I181" i="33" l="1"/>
  <c r="J181" i="33" s="1"/>
  <c r="K181" i="33" s="1"/>
  <c r="I182" i="33" s="1"/>
  <c r="J182" i="33" s="1"/>
  <c r="K182" i="33" s="1"/>
  <c r="I183" i="33" s="1"/>
  <c r="J183" i="33" s="1"/>
  <c r="K183" i="33" s="1"/>
  <c r="I184" i="33" s="1"/>
  <c r="J184" i="33" s="1"/>
  <c r="K184" i="33" s="1"/>
  <c r="I185" i="33" s="1"/>
  <c r="J185" i="33" s="1"/>
  <c r="K185" i="33" s="1"/>
  <c r="I186" i="33" s="1"/>
  <c r="J186" i="33" s="1"/>
  <c r="K186" i="33" s="1"/>
  <c r="I187" i="33" s="1"/>
  <c r="J187" i="33" s="1"/>
  <c r="K187" i="33" s="1"/>
  <c r="I188" i="33" s="1"/>
  <c r="J188" i="33" s="1"/>
  <c r="K188" i="33" s="1"/>
  <c r="I189" i="33" s="1"/>
  <c r="J189" i="33" s="1"/>
  <c r="K189" i="33" s="1"/>
  <c r="I190" i="33" s="1"/>
  <c r="J190" i="33" s="1"/>
  <c r="K190" i="33" s="1"/>
  <c r="Z7" i="30"/>
  <c r="Z5" i="30"/>
  <c r="J12" i="22"/>
  <c r="K12" i="22" s="1"/>
  <c r="I13" i="22" s="1"/>
  <c r="G19" i="29" l="1"/>
  <c r="G21" i="37"/>
  <c r="I191" i="33"/>
  <c r="J191" i="33" s="1"/>
  <c r="K191" i="33" s="1"/>
  <c r="I192" i="33" s="1"/>
  <c r="J192" i="33" s="1"/>
  <c r="K192" i="33" s="1"/>
  <c r="AA5" i="30"/>
  <c r="AB5" i="30" s="1"/>
  <c r="AA7" i="30"/>
  <c r="J13" i="22"/>
  <c r="K13" i="22" s="1"/>
  <c r="I14" i="22" s="1"/>
  <c r="G22" i="29" l="1"/>
  <c r="G24" i="29" s="1"/>
  <c r="G25" i="29" s="1"/>
  <c r="G24" i="37"/>
  <c r="G26" i="37" s="1"/>
  <c r="I193" i="33"/>
  <c r="J193" i="33" s="1"/>
  <c r="K193" i="33" s="1"/>
  <c r="I194" i="33" s="1"/>
  <c r="J194" i="33" s="1"/>
  <c r="K194" i="33" s="1"/>
  <c r="I195" i="33" s="1"/>
  <c r="J195" i="33" s="1"/>
  <c r="K195" i="33" s="1"/>
  <c r="I196" i="33" s="1"/>
  <c r="J196" i="33" s="1"/>
  <c r="K196" i="33" s="1"/>
  <c r="I197" i="33" s="1"/>
  <c r="J197" i="33" s="1"/>
  <c r="K197" i="33" s="1"/>
  <c r="AB7" i="30"/>
  <c r="AB8" i="30" s="1"/>
  <c r="J14" i="22"/>
  <c r="K14" i="22" s="1"/>
  <c r="I15" i="22" s="1"/>
  <c r="G35" i="29" l="1"/>
  <c r="G36" i="29" s="1"/>
  <c r="G37" i="37"/>
  <c r="G38" i="37" s="1"/>
  <c r="G27" i="37"/>
  <c r="I198" i="33"/>
  <c r="J198" i="33" s="1"/>
  <c r="K198" i="33" s="1"/>
  <c r="AC7" i="30"/>
  <c r="AC5" i="30"/>
  <c r="J15" i="22"/>
  <c r="K15" i="22" s="1"/>
  <c r="I16" i="22" s="1"/>
  <c r="I199" i="33" l="1"/>
  <c r="J199" i="33" s="1"/>
  <c r="K199" i="33" s="1"/>
  <c r="I200" i="33" s="1"/>
  <c r="J200" i="33" s="1"/>
  <c r="K200" i="33" s="1"/>
  <c r="I201" i="33" s="1"/>
  <c r="J201" i="33" s="1"/>
  <c r="K201" i="33" s="1"/>
  <c r="I202" i="33" s="1"/>
  <c r="J202" i="33" s="1"/>
  <c r="K202" i="33" s="1"/>
  <c r="I203" i="33" s="1"/>
  <c r="J203" i="33" s="1"/>
  <c r="K203" i="33" s="1"/>
  <c r="AD5" i="30"/>
  <c r="AE7" i="30" s="1"/>
  <c r="AD7" i="30"/>
  <c r="J16" i="22"/>
  <c r="K16" i="22" s="1"/>
  <c r="I17" i="22" s="1"/>
  <c r="I204" i="33" l="1"/>
  <c r="J204" i="33" s="1"/>
  <c r="K204" i="33" s="1"/>
  <c r="AE5" i="30"/>
  <c r="AF7" i="30" s="1"/>
  <c r="AE8" i="30"/>
  <c r="J17" i="22"/>
  <c r="K17" i="22" s="1"/>
  <c r="I18" i="22" s="1"/>
  <c r="I205" i="33" l="1"/>
  <c r="J205" i="33" s="1"/>
  <c r="K205" i="33" s="1"/>
  <c r="I206" i="33" s="1"/>
  <c r="J206" i="33" s="1"/>
  <c r="K206" i="33" s="1"/>
  <c r="I207" i="33" s="1"/>
  <c r="J207" i="33" s="1"/>
  <c r="K207" i="33" s="1"/>
  <c r="I208" i="33" s="1"/>
  <c r="J208" i="33" s="1"/>
  <c r="K208" i="33" s="1"/>
  <c r="I209" i="33" s="1"/>
  <c r="J209" i="33" s="1"/>
  <c r="K209" i="33" s="1"/>
  <c r="I210" i="33" s="1"/>
  <c r="J210" i="33" s="1"/>
  <c r="K210" i="33" s="1"/>
  <c r="I211" i="33" s="1"/>
  <c r="J211" i="33" s="1"/>
  <c r="K211" i="33" s="1"/>
  <c r="I212" i="33" s="1"/>
  <c r="J212" i="33" s="1"/>
  <c r="K212" i="33" s="1"/>
  <c r="I213" i="33" s="1"/>
  <c r="J213" i="33" s="1"/>
  <c r="K213" i="33" s="1"/>
  <c r="I214" i="33" s="1"/>
  <c r="J214" i="33" s="1"/>
  <c r="K214" i="33" s="1"/>
  <c r="I215" i="33" s="1"/>
  <c r="J215" i="33" s="1"/>
  <c r="K215" i="33" s="1"/>
  <c r="I216" i="33" s="1"/>
  <c r="J216" i="33" s="1"/>
  <c r="K216" i="33" s="1"/>
  <c r="I217" i="33" s="1"/>
  <c r="J217" i="33" s="1"/>
  <c r="K217" i="33" s="1"/>
  <c r="I218" i="33" s="1"/>
  <c r="J218" i="33" s="1"/>
  <c r="K218" i="33" s="1"/>
  <c r="I219" i="33" s="1"/>
  <c r="J219" i="33" s="1"/>
  <c r="K219" i="33" s="1"/>
  <c r="I220" i="33" s="1"/>
  <c r="J220" i="33" s="1"/>
  <c r="K220" i="33" s="1"/>
  <c r="I221" i="33" s="1"/>
  <c r="J221" i="33" s="1"/>
  <c r="K221" i="33" s="1"/>
  <c r="I222" i="33" s="1"/>
  <c r="J222" i="33" s="1"/>
  <c r="K222" i="33" s="1"/>
  <c r="I223" i="33" s="1"/>
  <c r="J223" i="33" s="1"/>
  <c r="K223" i="33" s="1"/>
  <c r="I224" i="33" s="1"/>
  <c r="J224" i="33" s="1"/>
  <c r="K224" i="33" s="1"/>
  <c r="I225" i="33" s="1"/>
  <c r="J225" i="33" s="1"/>
  <c r="K225" i="33" s="1"/>
  <c r="I226" i="33" s="1"/>
  <c r="J226" i="33" s="1"/>
  <c r="K226" i="33" s="1"/>
  <c r="AF5" i="30"/>
  <c r="AG7" i="30" s="1"/>
  <c r="J18" i="22"/>
  <c r="K18" i="22" s="1"/>
  <c r="I19" i="22" s="1"/>
  <c r="I227" i="33" l="1"/>
  <c r="J227" i="33" s="1"/>
  <c r="K227" i="33" s="1"/>
  <c r="I228" i="33" s="1"/>
  <c r="J228" i="33" s="1"/>
  <c r="K228" i="33" s="1"/>
  <c r="I229" i="33" s="1"/>
  <c r="J229" i="33" s="1"/>
  <c r="K229" i="33" s="1"/>
  <c r="AG5" i="30"/>
  <c r="J19" i="22"/>
  <c r="K19" i="22" s="1"/>
  <c r="I20" i="22" s="1"/>
  <c r="I230" i="33" l="1"/>
  <c r="J230" i="33" s="1"/>
  <c r="K230" i="33" s="1"/>
  <c r="I231" i="33" s="1"/>
  <c r="J231" i="33" s="1"/>
  <c r="K231" i="33" s="1"/>
  <c r="I232" i="33" s="1"/>
  <c r="J232" i="33" s="1"/>
  <c r="K232" i="33" s="1"/>
  <c r="I233" i="33" s="1"/>
  <c r="J233" i="33" s="1"/>
  <c r="K233" i="33" s="1"/>
  <c r="AH7" i="30"/>
  <c r="AH8" i="30" s="1"/>
  <c r="AH5" i="30"/>
  <c r="J20" i="22"/>
  <c r="K20" i="22" s="1"/>
  <c r="I21" i="22" s="1"/>
  <c r="I234" i="33" l="1"/>
  <c r="J234" i="33" s="1"/>
  <c r="K234" i="33" s="1"/>
  <c r="I235" i="33" s="1"/>
  <c r="J235" i="33" s="1"/>
  <c r="K235" i="33" s="1"/>
  <c r="I236" i="33" s="1"/>
  <c r="J236" i="33" s="1"/>
  <c r="K236" i="33" s="1"/>
  <c r="I237" i="33" s="1"/>
  <c r="J237" i="33" s="1"/>
  <c r="K237" i="33" s="1"/>
  <c r="I238" i="33" s="1"/>
  <c r="J238" i="33" s="1"/>
  <c r="K238" i="33" s="1"/>
  <c r="I239" i="33" s="1"/>
  <c r="J239" i="33" s="1"/>
  <c r="K239" i="33" s="1"/>
  <c r="AI5" i="30"/>
  <c r="AI7" i="30"/>
  <c r="J21" i="22"/>
  <c r="K21" i="22" s="1"/>
  <c r="I22" i="22" s="1"/>
  <c r="I240" i="33" l="1"/>
  <c r="J240" i="33" s="1"/>
  <c r="K240" i="33" s="1"/>
  <c r="I241" i="33" s="1"/>
  <c r="J241" i="33" s="1"/>
  <c r="K241" i="33" s="1"/>
  <c r="I242" i="33" s="1"/>
  <c r="J242" i="33" s="1"/>
  <c r="K242" i="33" s="1"/>
  <c r="I243" i="33" s="1"/>
  <c r="J243" i="33" s="1"/>
  <c r="K243" i="33" s="1"/>
  <c r="I244" i="33" s="1"/>
  <c r="J244" i="33" s="1"/>
  <c r="K244" i="33" s="1"/>
  <c r="I245" i="33" s="1"/>
  <c r="J245" i="33" s="1"/>
  <c r="K245" i="33" s="1"/>
  <c r="I246" i="33" s="1"/>
  <c r="J246" i="33" s="1"/>
  <c r="K246" i="33" s="1"/>
  <c r="I247" i="33" s="1"/>
  <c r="AJ7" i="30"/>
  <c r="AJ5" i="30"/>
  <c r="J22" i="22"/>
  <c r="K22" i="22" s="1"/>
  <c r="J247" i="33" l="1"/>
  <c r="I368" i="33"/>
  <c r="AK5" i="30"/>
  <c r="AK7" i="30"/>
  <c r="AK8" i="30" s="1"/>
  <c r="AM9" i="30" s="1"/>
  <c r="I23" i="22"/>
  <c r="J23" i="22" s="1"/>
  <c r="K23" i="22" s="1"/>
  <c r="I24" i="22" s="1"/>
  <c r="K247" i="33" l="1"/>
  <c r="J368" i="33"/>
  <c r="H21" i="37"/>
  <c r="AL5" i="30"/>
  <c r="AL7" i="30"/>
  <c r="J24" i="22"/>
  <c r="K24" i="22" s="1"/>
  <c r="I25" i="22" s="1"/>
  <c r="H24" i="37" l="1"/>
  <c r="H26" i="37" s="1"/>
  <c r="H19" i="29"/>
  <c r="AM5" i="30"/>
  <c r="AN5" i="30" s="1"/>
  <c r="AM7" i="30"/>
  <c r="J25" i="22"/>
  <c r="K25" i="22" s="1"/>
  <c r="I26" i="22" s="1"/>
  <c r="H22" i="29" l="1"/>
  <c r="H24" i="29" s="1"/>
  <c r="H25" i="29" s="1"/>
  <c r="H37" i="37"/>
  <c r="H38" i="37" s="1"/>
  <c r="H27" i="37"/>
  <c r="H22" i="31"/>
  <c r="H24" i="31" s="1"/>
  <c r="AN7" i="30"/>
  <c r="AN8" i="30" s="1"/>
  <c r="J26" i="22"/>
  <c r="K26" i="22" s="1"/>
  <c r="I27" i="22" s="1"/>
  <c r="H35" i="29" l="1"/>
  <c r="H36" i="29" s="1"/>
  <c r="H35" i="31"/>
  <c r="H36" i="31" s="1"/>
  <c r="H25" i="31"/>
  <c r="AO7" i="30"/>
  <c r="AO5" i="30"/>
  <c r="J27" i="22"/>
  <c r="K27" i="22" s="1"/>
  <c r="I28" i="22" s="1"/>
  <c r="AP7" i="30" l="1"/>
  <c r="AP5" i="30"/>
  <c r="J28" i="22"/>
  <c r="K28" i="22" s="1"/>
  <c r="I29" i="22" s="1"/>
  <c r="AQ7" i="30" l="1"/>
  <c r="AQ8" i="30" s="1"/>
  <c r="AQ5" i="30"/>
  <c r="J29" i="22"/>
  <c r="K29" i="22" s="1"/>
  <c r="I30" i="22" s="1"/>
  <c r="AR5" i="30" l="1"/>
  <c r="AR7" i="30"/>
  <c r="J30" i="22"/>
  <c r="K30" i="22" s="1"/>
  <c r="I31" i="22" s="1"/>
  <c r="AS5" i="30" l="1"/>
  <c r="AS7" i="30"/>
  <c r="J31" i="22"/>
  <c r="K31" i="22" s="1"/>
  <c r="I32" i="22" s="1"/>
  <c r="AT5" i="30" l="1"/>
  <c r="AT7" i="30"/>
  <c r="AT8" i="30" s="1"/>
  <c r="J32" i="22"/>
  <c r="K32" i="22" s="1"/>
  <c r="I33" i="22" s="1"/>
  <c r="AU5" i="30" l="1"/>
  <c r="AU7" i="30"/>
  <c r="J33" i="22"/>
  <c r="K33" i="22" s="1"/>
  <c r="I34" i="22" s="1"/>
  <c r="AV5" i="30" l="1"/>
  <c r="AV7" i="30"/>
  <c r="J34" i="22"/>
  <c r="K34" i="22" s="1"/>
  <c r="I35" i="22" s="1"/>
  <c r="AW7" i="30" l="1"/>
  <c r="AW8" i="30" s="1"/>
  <c r="AW5" i="30"/>
  <c r="J35" i="22"/>
  <c r="I21" i="37" l="1"/>
  <c r="I24" i="37" s="1"/>
  <c r="I26" i="37" s="1"/>
  <c r="AY9" i="30"/>
  <c r="AX5" i="30"/>
  <c r="AX7" i="30"/>
  <c r="K35" i="22"/>
  <c r="I36" i="22" s="1"/>
  <c r="J36" i="22" s="1"/>
  <c r="K36" i="22" s="1"/>
  <c r="I37" i="22" s="1"/>
  <c r="I37" i="37" l="1"/>
  <c r="I38" i="37" s="1"/>
  <c r="I27" i="37"/>
  <c r="I22" i="31"/>
  <c r="I24" i="31" s="1"/>
  <c r="I19" i="29"/>
  <c r="AY7" i="30"/>
  <c r="AY5" i="30"/>
  <c r="J37" i="22"/>
  <c r="K37" i="22" s="1"/>
  <c r="I38" i="22" s="1"/>
  <c r="I35" i="31" l="1"/>
  <c r="I25" i="31"/>
  <c r="I22" i="29"/>
  <c r="I24" i="29" s="1"/>
  <c r="AZ5" i="30"/>
  <c r="BA5" i="30" s="1"/>
  <c r="AZ7" i="30"/>
  <c r="AZ8" i="30" s="1"/>
  <c r="J38" i="22"/>
  <c r="K38" i="22" s="1"/>
  <c r="I39" i="22" s="1"/>
  <c r="I36" i="31" l="1"/>
  <c r="I25" i="29"/>
  <c r="I35" i="29"/>
  <c r="I36" i="29" s="1"/>
  <c r="BA7" i="30"/>
  <c r="J39" i="22"/>
  <c r="K39" i="22" s="1"/>
  <c r="I40" i="22" s="1"/>
  <c r="BB7" i="30" l="1"/>
  <c r="BB5" i="30"/>
  <c r="J40" i="22"/>
  <c r="K40" i="22" s="1"/>
  <c r="I41" i="22" s="1"/>
  <c r="BC7" i="30" l="1"/>
  <c r="BC8" i="30" s="1"/>
  <c r="BC5" i="30"/>
  <c r="BD7" i="30" s="1"/>
  <c r="J41" i="22"/>
  <c r="K41" i="22" s="1"/>
  <c r="I42" i="22" s="1"/>
  <c r="BD5" i="30" l="1"/>
  <c r="BE7" i="30" s="1"/>
  <c r="J42" i="22"/>
  <c r="K42" i="22" s="1"/>
  <c r="I43" i="22" s="1"/>
  <c r="BE5" i="30" l="1"/>
  <c r="J43" i="22"/>
  <c r="K43" i="22" s="1"/>
  <c r="I44" i="22" s="1"/>
  <c r="BF7" i="30" l="1"/>
  <c r="BF8" i="30" s="1"/>
  <c r="BF5" i="30"/>
  <c r="J44" i="22"/>
  <c r="K44" i="22" s="1"/>
  <c r="I45" i="22" s="1"/>
  <c r="BG7" i="30" l="1"/>
  <c r="BG5" i="30"/>
  <c r="J45" i="22"/>
  <c r="K45" i="22" s="1"/>
  <c r="I46" i="22" s="1"/>
  <c r="BH5" i="30" l="1"/>
  <c r="BH7" i="30"/>
  <c r="J46" i="22"/>
  <c r="K46" i="22" s="1"/>
  <c r="I47" i="22" s="1"/>
  <c r="BI7" i="30" l="1"/>
  <c r="BI8" i="30" s="1"/>
  <c r="BI5" i="30"/>
  <c r="J47" i="22"/>
  <c r="K47" i="22" s="1"/>
  <c r="I48" i="22" s="1"/>
  <c r="BJ7" i="30" l="1"/>
  <c r="BJ5" i="30"/>
  <c r="J48" i="22"/>
  <c r="K48" i="22" s="1"/>
  <c r="I49" i="22" s="1"/>
  <c r="BK7" i="30" l="1"/>
  <c r="BL7" i="30" s="1"/>
  <c r="BK5" i="30"/>
  <c r="J49" i="22"/>
  <c r="K49" i="22" s="1"/>
  <c r="I50" i="22" s="1"/>
  <c r="BK8" i="30" l="1"/>
  <c r="J50" i="22"/>
  <c r="K50" i="22" s="1"/>
  <c r="I51" i="22" s="1"/>
  <c r="J21" i="37" l="1"/>
  <c r="BK9" i="30"/>
  <c r="BL9" i="30" s="1"/>
  <c r="J24" i="37"/>
  <c r="J26" i="37" s="1"/>
  <c r="N21" i="37"/>
  <c r="BL8" i="30"/>
  <c r="J51" i="22"/>
  <c r="K51" i="22" s="1"/>
  <c r="I52" i="22" s="1"/>
  <c r="J27" i="37" l="1"/>
  <c r="J22" i="31"/>
  <c r="J24" i="31" s="1"/>
  <c r="J19" i="29"/>
  <c r="N19" i="29" s="1"/>
  <c r="J52" i="22"/>
  <c r="K52" i="22" s="1"/>
  <c r="J22" i="29" l="1"/>
  <c r="J24" i="29" s="1"/>
  <c r="N22" i="29"/>
  <c r="J35" i="31"/>
  <c r="N24" i="31"/>
  <c r="J25" i="31"/>
  <c r="M38" i="31" s="1"/>
  <c r="I53" i="22"/>
  <c r="J53" i="22" s="1"/>
  <c r="K53" i="22" s="1"/>
  <c r="I54" i="22" s="1"/>
  <c r="G16" i="25" l="1"/>
  <c r="Y40" i="37"/>
  <c r="J25" i="29"/>
  <c r="J36" i="31"/>
  <c r="L36" i="31" s="1"/>
  <c r="N24" i="29"/>
  <c r="J54" i="22"/>
  <c r="K54" i="22" s="1"/>
  <c r="I55" i="22" s="1"/>
  <c r="D40" i="29" l="1"/>
  <c r="M38" i="29"/>
  <c r="M32" i="31"/>
  <c r="M33" i="31" s="1"/>
  <c r="M35" i="31" s="1"/>
  <c r="J55" i="22"/>
  <c r="K55" i="22" s="1"/>
  <c r="I56" i="22" s="1"/>
  <c r="M36" i="31" l="1"/>
  <c r="N35" i="31"/>
  <c r="J56" i="22"/>
  <c r="K56" i="22" s="1"/>
  <c r="I57" i="22" s="1"/>
  <c r="J57" i="22" l="1"/>
  <c r="K57" i="22" s="1"/>
  <c r="I58" i="22" s="1"/>
  <c r="J58" i="22" l="1"/>
  <c r="K58" i="22" s="1"/>
  <c r="I59" i="22" s="1"/>
  <c r="J59" i="22" l="1"/>
  <c r="K59" i="22" s="1"/>
  <c r="I60" i="22" s="1"/>
  <c r="J60" i="22" l="1"/>
  <c r="K60" i="22" s="1"/>
  <c r="I61" i="22" s="1"/>
  <c r="J61" i="22" l="1"/>
  <c r="K61" i="22" s="1"/>
  <c r="I62" i="22" s="1"/>
  <c r="J62" i="22" l="1"/>
  <c r="K62" i="22" s="1"/>
  <c r="I63" i="22" s="1"/>
  <c r="J63" i="22" l="1"/>
  <c r="K63" i="22" s="1"/>
  <c r="I64" i="22" s="1"/>
  <c r="J64" i="22" l="1"/>
  <c r="K64" i="22" s="1"/>
  <c r="I65" i="22" s="1"/>
  <c r="J65" i="22" l="1"/>
  <c r="K65" i="22" s="1"/>
  <c r="I66" i="22" s="1"/>
  <c r="J66" i="22" l="1"/>
  <c r="K66" i="22" s="1"/>
  <c r="I67" i="22" s="1"/>
  <c r="J67" i="22" l="1"/>
  <c r="K67" i="22" s="1"/>
  <c r="I68" i="22" l="1"/>
  <c r="J68" i="22" s="1"/>
  <c r="K68" i="22" s="1"/>
  <c r="J28" i="29"/>
  <c r="I69" i="22"/>
  <c r="J69" i="22" s="1"/>
  <c r="K69" i="22" s="1"/>
  <c r="I70" i="22" s="1"/>
  <c r="J70" i="22" s="1"/>
  <c r="K70" i="22" s="1"/>
  <c r="I71" i="22" s="1"/>
  <c r="J71" i="22" s="1"/>
  <c r="K71" i="22" s="1"/>
  <c r="P24" i="29" l="1"/>
  <c r="J35" i="29"/>
  <c r="J36" i="29" s="1"/>
  <c r="L36" i="29" s="1"/>
  <c r="M32" i="29" s="1"/>
  <c r="E16" i="25"/>
  <c r="J37" i="37"/>
  <c r="M40" i="37"/>
  <c r="E13" i="25"/>
  <c r="I72" i="22"/>
  <c r="J72" i="22" s="1"/>
  <c r="K72" i="22" s="1"/>
  <c r="J38" i="37" l="1"/>
  <c r="L38" i="37" s="1"/>
  <c r="M34" i="37" s="1"/>
  <c r="M35" i="37" s="1"/>
  <c r="M37" i="37" s="1"/>
  <c r="M38" i="37" s="1"/>
  <c r="I73" i="22"/>
  <c r="J73" i="22" s="1"/>
  <c r="K73" i="22" s="1"/>
  <c r="N37" i="37" l="1"/>
  <c r="M33" i="29"/>
  <c r="M35" i="29" s="1"/>
  <c r="I74" i="22"/>
  <c r="J74" i="22" l="1"/>
  <c r="M36" i="29" l="1"/>
  <c r="N35" i="29"/>
  <c r="K74" i="22"/>
  <c r="I75" i="22" l="1"/>
  <c r="J75" i="22" l="1"/>
  <c r="K75" i="22" l="1"/>
  <c r="I76" i="22" s="1"/>
  <c r="J76" i="22" l="1"/>
  <c r="K76" i="22" l="1"/>
  <c r="I77" i="22" l="1"/>
  <c r="J77" i="22" l="1"/>
  <c r="K77" i="22" l="1"/>
  <c r="I78" i="22" l="1"/>
  <c r="J78" i="22" l="1"/>
  <c r="K78" i="22" l="1"/>
  <c r="I79" i="22" l="1"/>
  <c r="J79" i="22" s="1"/>
  <c r="K79" i="22" s="1"/>
  <c r="I80" i="22" l="1"/>
  <c r="J80" i="22" s="1"/>
  <c r="K80" i="22" s="1"/>
  <c r="I81" i="22" l="1"/>
  <c r="J81" i="22" s="1"/>
  <c r="K81" i="22" s="1"/>
  <c r="I82" i="22" l="1"/>
  <c r="J82" i="22" s="1"/>
  <c r="K82" i="22" s="1"/>
  <c r="I83" i="22" l="1"/>
  <c r="J83" i="22" s="1"/>
  <c r="K83" i="22" s="1"/>
  <c r="I84" i="22" l="1"/>
  <c r="J84" i="22" s="1"/>
  <c r="K84" i="22" s="1"/>
  <c r="I85" i="22" s="1"/>
  <c r="J85" i="22" s="1"/>
  <c r="K85" i="22" s="1"/>
  <c r="I86" i="22" l="1"/>
  <c r="J86" i="22" s="1"/>
  <c r="K86" i="22" s="1"/>
  <c r="I87" i="22" l="1"/>
  <c r="J87" i="22" s="1"/>
  <c r="K87" i="22" s="1"/>
  <c r="I88" i="22" l="1"/>
  <c r="J88" i="22" s="1"/>
  <c r="K88" i="22" s="1"/>
  <c r="I89" i="22" l="1"/>
  <c r="J89" i="22" s="1"/>
  <c r="K89" i="22" s="1"/>
  <c r="I90" i="22" l="1"/>
  <c r="J90" i="22" s="1"/>
  <c r="K90" i="22" s="1"/>
  <c r="I91" i="22" l="1"/>
  <c r="J91" i="22" s="1"/>
  <c r="K91" i="22" s="1"/>
  <c r="I92" i="22" s="1"/>
  <c r="J92" i="22" s="1"/>
  <c r="K92" i="22" s="1"/>
  <c r="I93" i="22" l="1"/>
  <c r="J93" i="22" s="1"/>
  <c r="K93" i="22" s="1"/>
  <c r="I94" i="22" s="1"/>
  <c r="J94" i="22" s="1"/>
  <c r="K94" i="22" s="1"/>
  <c r="I95" i="22" l="1"/>
  <c r="J95" i="22" s="1"/>
  <c r="K95" i="22" s="1"/>
  <c r="I96" i="22" l="1"/>
  <c r="J96" i="22" s="1"/>
  <c r="K96" i="22" s="1"/>
  <c r="I97" i="22" l="1"/>
  <c r="J97" i="22" s="1"/>
  <c r="K97" i="22" s="1"/>
  <c r="I98" i="22" l="1"/>
  <c r="J98" i="22" s="1"/>
  <c r="K98" i="22" s="1"/>
  <c r="I99" i="22" l="1"/>
  <c r="J99" i="22" s="1"/>
  <c r="K99" i="22" s="1"/>
  <c r="I100" i="22" l="1"/>
  <c r="J100" i="22" s="1"/>
  <c r="K100" i="22" s="1"/>
  <c r="I101" i="22" l="1"/>
  <c r="J101" i="22" s="1"/>
  <c r="K101" i="22" s="1"/>
  <c r="I102" i="22" l="1"/>
  <c r="J102" i="22" s="1"/>
  <c r="K102" i="22" s="1"/>
  <c r="I103" i="22" l="1"/>
  <c r="J103" i="22" s="1"/>
  <c r="K103" i="22" s="1"/>
  <c r="I104" i="22" l="1"/>
  <c r="J104" i="22" s="1"/>
  <c r="K104" i="22" s="1"/>
  <c r="I105" i="22" l="1"/>
  <c r="J105" i="22" s="1"/>
  <c r="K105" i="22" s="1"/>
  <c r="I106" i="22" l="1"/>
  <c r="J106" i="22" s="1"/>
  <c r="K106" i="22" s="1"/>
  <c r="I107" i="22" l="1"/>
  <c r="J107" i="22" s="1"/>
  <c r="K107" i="22" s="1"/>
  <c r="I108" i="22" l="1"/>
  <c r="J108" i="22" s="1"/>
  <c r="K108" i="22" s="1"/>
  <c r="I109" i="22" l="1"/>
  <c r="J109" i="22" s="1"/>
  <c r="K109" i="22" s="1"/>
  <c r="I110" i="22" l="1"/>
  <c r="J110" i="22" s="1"/>
  <c r="K110" i="22" s="1"/>
  <c r="I111" i="22" l="1"/>
  <c r="J111" i="22" s="1"/>
  <c r="K111" i="22" s="1"/>
  <c r="I112" i="22" l="1"/>
  <c r="J112" i="22" s="1"/>
  <c r="K112" i="22" s="1"/>
  <c r="I113" i="22" l="1"/>
  <c r="J113" i="22" s="1"/>
  <c r="K113" i="22" s="1"/>
  <c r="I114" i="22" l="1"/>
  <c r="J114" i="22" s="1"/>
  <c r="K114" i="22" s="1"/>
  <c r="I115" i="22" l="1"/>
  <c r="J115" i="22" s="1"/>
  <c r="K115" i="22" s="1"/>
  <c r="I116" i="22" l="1"/>
  <c r="J116" i="22" s="1"/>
  <c r="K116" i="22" s="1"/>
  <c r="I117" i="22" l="1"/>
  <c r="J117" i="22" s="1"/>
  <c r="K117" i="22" s="1"/>
  <c r="I118" i="22" l="1"/>
  <c r="J118" i="22" s="1"/>
  <c r="K118" i="22" s="1"/>
  <c r="I119" i="22" s="1"/>
  <c r="J119" i="22" s="1"/>
  <c r="K119" i="22" s="1"/>
  <c r="I120" i="22" l="1"/>
  <c r="J120" i="22" s="1"/>
  <c r="K120" i="22" s="1"/>
  <c r="I121" i="22" l="1"/>
  <c r="J121" i="22" s="1"/>
  <c r="K121" i="22" s="1"/>
  <c r="I122" i="22" l="1"/>
  <c r="J122" i="22" s="1"/>
  <c r="K122" i="22" s="1"/>
  <c r="I123" i="22" s="1"/>
  <c r="J123" i="22" s="1"/>
  <c r="K123" i="22" s="1"/>
  <c r="I124" i="22" l="1"/>
  <c r="J124" i="22" s="1"/>
  <c r="K124" i="22" s="1"/>
  <c r="I125" i="22" l="1"/>
  <c r="J125" i="22" s="1"/>
  <c r="K125" i="22" s="1"/>
  <c r="I126" i="22" s="1"/>
  <c r="J126" i="22" s="1"/>
  <c r="K126" i="22" s="1"/>
  <c r="I127" i="22" l="1"/>
  <c r="J127" i="22" l="1"/>
  <c r="K127" i="22" l="1"/>
  <c r="I128" i="22" s="1"/>
  <c r="J128" i="22" l="1"/>
  <c r="K128" i="22" l="1"/>
  <c r="I129" i="22" s="1"/>
  <c r="J129" i="22" l="1"/>
  <c r="K129" i="22" l="1"/>
  <c r="I130" i="22" s="1"/>
  <c r="J130" i="22" l="1"/>
  <c r="K130" i="22" l="1"/>
  <c r="I131" i="22" s="1"/>
  <c r="J131" i="22" l="1"/>
  <c r="K131" i="22" l="1"/>
  <c r="I132" i="22" s="1"/>
  <c r="J132" i="22" l="1"/>
  <c r="K132" i="22" l="1"/>
  <c r="I133" i="22" s="1"/>
  <c r="J133" i="22" s="1"/>
  <c r="K133" i="22" s="1"/>
  <c r="I134" i="22" s="1"/>
  <c r="J134" i="22" s="1"/>
  <c r="K134" i="22" s="1"/>
  <c r="I135" i="22" s="1"/>
  <c r="J135" i="22" s="1"/>
  <c r="K135" i="22" s="1"/>
  <c r="I136" i="22" l="1"/>
  <c r="J136" i="22" s="1"/>
  <c r="K136" i="22"/>
  <c r="I137" i="22" s="1"/>
  <c r="J137" i="22" s="1"/>
  <c r="K137" i="22" s="1"/>
  <c r="I138" i="22" l="1"/>
  <c r="J138" i="22" s="1"/>
  <c r="K138" i="22"/>
  <c r="I139" i="22" l="1"/>
  <c r="J139" i="22" s="1"/>
  <c r="K139" i="22" s="1"/>
  <c r="I140" i="22" s="1"/>
  <c r="J140" i="22" s="1"/>
  <c r="K140" i="22" s="1"/>
  <c r="I141" i="22" l="1"/>
  <c r="J141" i="22" s="1"/>
  <c r="K141" i="22" s="1"/>
  <c r="I142" i="22" s="1"/>
  <c r="J142" i="22" s="1"/>
  <c r="K142" i="22" s="1"/>
  <c r="I143" i="22" l="1"/>
  <c r="J143" i="22" s="1"/>
  <c r="K143" i="22" s="1"/>
  <c r="I144" i="22" l="1"/>
  <c r="J144" i="22" s="1"/>
  <c r="K144" i="22" s="1"/>
  <c r="I145" i="22" l="1"/>
  <c r="J145" i="22" s="1"/>
  <c r="K145" i="22" s="1"/>
  <c r="I146" i="22" s="1"/>
  <c r="J146" i="22" s="1"/>
  <c r="K146" i="22" s="1"/>
  <c r="I147" i="22" l="1"/>
  <c r="J147" i="22" s="1"/>
  <c r="K147" i="22" s="1"/>
  <c r="I148" i="22" s="1"/>
  <c r="J148" i="22" s="1"/>
  <c r="K148" i="22" s="1"/>
  <c r="I149" i="22" s="1"/>
  <c r="J149" i="22" s="1"/>
  <c r="K149" i="22" s="1"/>
  <c r="I150" i="22" s="1"/>
  <c r="J150" i="22" s="1"/>
  <c r="K150" i="22" s="1"/>
  <c r="I151" i="22" l="1"/>
  <c r="J151" i="22" l="1"/>
  <c r="I368" i="22"/>
  <c r="J368" i="22" l="1"/>
  <c r="K151" i="22"/>
</calcChain>
</file>

<file path=xl/sharedStrings.xml><?xml version="1.0" encoding="utf-8"?>
<sst xmlns="http://schemas.openxmlformats.org/spreadsheetml/2006/main" count="440" uniqueCount="191">
  <si>
    <t>UF</t>
  </si>
  <si>
    <t>N°</t>
  </si>
  <si>
    <t xml:space="preserve">COMPRADOR </t>
  </si>
  <si>
    <t>UF TOTAL</t>
  </si>
  <si>
    <t>BODEGA</t>
  </si>
  <si>
    <t>ESTACIONAMIENTO</t>
  </si>
  <si>
    <t>Avalúo Fiscal</t>
  </si>
  <si>
    <t>IVA real</t>
  </si>
  <si>
    <t>Neto</t>
  </si>
  <si>
    <t>Valor Arriendo</t>
  </si>
  <si>
    <t>Avalúo fiscal</t>
  </si>
  <si>
    <t>% A. Fiscal</t>
  </si>
  <si>
    <t>11% A.F (año)</t>
  </si>
  <si>
    <t>11% A.F (mes)</t>
  </si>
  <si>
    <t>Arriendo-(11% A.F (mes))</t>
  </si>
  <si>
    <t>IVA arriendo</t>
  </si>
  <si>
    <t>Depto</t>
  </si>
  <si>
    <t>Ingresos arriendo (mes)</t>
  </si>
  <si>
    <t>Amoblado</t>
  </si>
  <si>
    <t>Contribuciones</t>
  </si>
  <si>
    <t>Dividendo</t>
  </si>
  <si>
    <t>Gasto operacional</t>
  </si>
  <si>
    <t>Comisión corredor</t>
  </si>
  <si>
    <t>Gasto común</t>
  </si>
  <si>
    <t>Administración</t>
  </si>
  <si>
    <t>IVA</t>
  </si>
  <si>
    <t>TIPOLOGIA</t>
  </si>
  <si>
    <t>Total</t>
  </si>
  <si>
    <t>Mes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</si>
  <si>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</si>
  <si>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</si>
  <si>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</si>
  <si>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</si>
  <si>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</si>
  <si>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</si>
  <si>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</si>
  <si>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</si>
  <si>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</si>
  <si>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</si>
  <si>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</si>
  <si>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</si>
  <si>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Ingresos</t>
  </si>
  <si>
    <t>Arriendos</t>
  </si>
  <si>
    <t>C. Fiscal Equip.</t>
  </si>
  <si>
    <t>C. Fiscal Unidades</t>
  </si>
  <si>
    <t>Egresos</t>
  </si>
  <si>
    <t>Total Ingresos</t>
  </si>
  <si>
    <t>Total Egresos</t>
  </si>
  <si>
    <t>Flujo</t>
  </si>
  <si>
    <t>Flujo acumulado</t>
  </si>
  <si>
    <t>Año 1</t>
  </si>
  <si>
    <t>Año 2</t>
  </si>
  <si>
    <t>Año 3</t>
  </si>
  <si>
    <t>Año 4</t>
  </si>
  <si>
    <t>Año 5</t>
  </si>
  <si>
    <t>Venta propiedades</t>
  </si>
  <si>
    <t>Saldo IVA</t>
  </si>
  <si>
    <t>S. Insoluto</t>
  </si>
  <si>
    <t>Tasa mensual</t>
  </si>
  <si>
    <t>Períodos</t>
  </si>
  <si>
    <t>Período</t>
  </si>
  <si>
    <t>Cuota</t>
  </si>
  <si>
    <t>Interés</t>
  </si>
  <si>
    <t>Capital</t>
  </si>
  <si>
    <t>Marketing</t>
  </si>
  <si>
    <t>Imprevistos</t>
  </si>
  <si>
    <t>uf tomada</t>
  </si>
  <si>
    <t>IVA (uf)</t>
  </si>
  <si>
    <t>Construcción</t>
  </si>
  <si>
    <t>Valor de terreno (uf)</t>
  </si>
  <si>
    <t>Valor de terreno (pesos)</t>
  </si>
  <si>
    <t>Prepago Crédito</t>
  </si>
  <si>
    <t>Año 0</t>
  </si>
  <si>
    <t>Finaciamiento</t>
  </si>
  <si>
    <t>Dev. Financiamiento</t>
  </si>
  <si>
    <t>Descuento</t>
  </si>
  <si>
    <t>Roles</t>
  </si>
  <si>
    <t>04940-00151</t>
  </si>
  <si>
    <t>04940-00150</t>
  </si>
  <si>
    <t>04940-00155</t>
  </si>
  <si>
    <t>04940-00160</t>
  </si>
  <si>
    <t>04940-00164</t>
  </si>
  <si>
    <t>04940-00159</t>
  </si>
  <si>
    <t>04940-00173</t>
  </si>
  <si>
    <t>04940-00177</t>
  </si>
  <si>
    <t>04940-00132</t>
  </si>
  <si>
    <t>04940-00168</t>
  </si>
  <si>
    <t>Cuota Alzamiento</t>
  </si>
  <si>
    <t>Dif. Prrecio con Dcto y Cuota de Alz</t>
  </si>
  <si>
    <t>Precio Lista Deptos</t>
  </si>
  <si>
    <t>Precio con dcto</t>
  </si>
  <si>
    <t>Venta Total Sin descuento</t>
  </si>
  <si>
    <t>Cuota de alzamiento</t>
  </si>
  <si>
    <t>Valor UF</t>
  </si>
  <si>
    <t>Tasa anual UF</t>
  </si>
  <si>
    <t>Cuota de alzaminto</t>
  </si>
  <si>
    <t>total uf</t>
  </si>
  <si>
    <t xml:space="preserve">iva </t>
  </si>
  <si>
    <t>Flujo Financiamiento</t>
  </si>
  <si>
    <t>Dev. Prest</t>
  </si>
  <si>
    <t>Costo Financiero Cred. 1</t>
  </si>
  <si>
    <t xml:space="preserve">Tasa </t>
  </si>
  <si>
    <t>Monto</t>
  </si>
  <si>
    <t>Cuotas</t>
  </si>
  <si>
    <t>Saldo de Capital</t>
  </si>
  <si>
    <t>Amortización</t>
  </si>
  <si>
    <t>Flujo Anual Proy. Puro (+ C.F.)</t>
  </si>
  <si>
    <t>Venta sin mayor plusvalía</t>
  </si>
  <si>
    <t>Flujo caja anual</t>
  </si>
  <si>
    <t>Flujo anual acumulado</t>
  </si>
  <si>
    <t>Saldo final Dividendo</t>
  </si>
  <si>
    <t>Arriendo U</t>
  </si>
  <si>
    <t>Amoblado U</t>
  </si>
  <si>
    <t>Contribuciones U</t>
  </si>
  <si>
    <t>Gasto Operacional</t>
  </si>
  <si>
    <t>Comisión Corredor</t>
  </si>
  <si>
    <t>Marketing (Agencia)</t>
  </si>
  <si>
    <t>Imprevistos U</t>
  </si>
  <si>
    <t>Dividendo total</t>
  </si>
  <si>
    <t>Dcto</t>
  </si>
  <si>
    <t>Venta Total (sin descuento)</t>
  </si>
  <si>
    <t>Crédito UF LTV - 75%</t>
  </si>
  <si>
    <t>5 AÑOS</t>
  </si>
  <si>
    <t>10 AÑOS</t>
  </si>
  <si>
    <t>20 AÑOS</t>
  </si>
  <si>
    <t>Año 6</t>
  </si>
  <si>
    <t>Impuesto / Utilidades (se venden al mismo precio)</t>
  </si>
  <si>
    <t>Arriendo GGCC Incluido</t>
  </si>
  <si>
    <t>Est. UF</t>
  </si>
  <si>
    <t>Bod UF</t>
  </si>
  <si>
    <t>Proyecto a 5 años Perfil 20</t>
  </si>
  <si>
    <t>Factores</t>
  </si>
  <si>
    <t>Cant. Deptos</t>
  </si>
  <si>
    <t>Utilidad</t>
  </si>
  <si>
    <t>Recuperación del IVA</t>
  </si>
  <si>
    <t>Prepago de Capital al año 5</t>
  </si>
  <si>
    <t>Ingreso Total Arriendos</t>
  </si>
  <si>
    <t>Dividendos Totales</t>
  </si>
  <si>
    <t xml:space="preserve">Colocación de los deptos </t>
  </si>
  <si>
    <t xml:space="preserve">Impuesto </t>
  </si>
  <si>
    <t>Impuesto</t>
  </si>
  <si>
    <t xml:space="preserve">Cuota de Alzamiento </t>
  </si>
  <si>
    <t>Flujo Proyecto</t>
  </si>
  <si>
    <t>VENTA 15 DEPARTAMENTOS (INCLUYE ESTACIONAMIENTOS Y BODEGAS)</t>
  </si>
  <si>
    <t>28% Desc</t>
  </si>
  <si>
    <t>12 años</t>
  </si>
  <si>
    <t>Tasa anual nomial</t>
  </si>
  <si>
    <t>Crédito UF LTV - 72%</t>
  </si>
  <si>
    <t>Tip</t>
  </si>
  <si>
    <t>Precio 28% dcto</t>
  </si>
  <si>
    <t>VER</t>
  </si>
  <si>
    <t>ggcc UF</t>
  </si>
  <si>
    <t>gasto operc UF</t>
  </si>
  <si>
    <t>Venta Total con Dcto (D+E+B)</t>
  </si>
  <si>
    <t>Unidad</t>
  </si>
  <si>
    <t xml:space="preserve">702       </t>
  </si>
  <si>
    <t xml:space="preserve">803       </t>
  </si>
  <si>
    <t xml:space="preserve">903       </t>
  </si>
  <si>
    <t xml:space="preserve">1002      </t>
  </si>
  <si>
    <t xml:space="preserve">1003      </t>
  </si>
  <si>
    <t xml:space="preserve">1007      </t>
  </si>
  <si>
    <t xml:space="preserve">1104      </t>
  </si>
  <si>
    <t xml:space="preserve">1107      </t>
  </si>
  <si>
    <t xml:space="preserve">1204      </t>
  </si>
  <si>
    <t xml:space="preserve">1207      </t>
  </si>
  <si>
    <t xml:space="preserve">1301      </t>
  </si>
  <si>
    <t xml:space="preserve">1302      </t>
  </si>
  <si>
    <t xml:space="preserve">1303      </t>
  </si>
  <si>
    <t xml:space="preserve">1304      </t>
  </si>
  <si>
    <t xml:space="preserve">1309      </t>
  </si>
  <si>
    <t>dif</t>
  </si>
  <si>
    <t>C.EST</t>
  </si>
  <si>
    <t>C.BOD</t>
  </si>
  <si>
    <t>DEPTO+E+B</t>
  </si>
  <si>
    <t>Cuota Alzamiento DEPTO</t>
  </si>
  <si>
    <t>Admin</t>
  </si>
  <si>
    <t>C.A.DENNIS</t>
  </si>
  <si>
    <t>Proyecto a 5 años Perfil 12</t>
  </si>
  <si>
    <t>Descuento Inmobiliaria</t>
  </si>
  <si>
    <t>8% - Se encuentra en negociación con el stder un crédito paralelo por uf 10.000</t>
  </si>
  <si>
    <t>1er año, colocación en 6 meses. El resto de los años una vacancia del 10%</t>
  </si>
  <si>
    <t>Necesidad de nuevo financiamiento</t>
  </si>
  <si>
    <t xml:space="preserve">Deuda Actual </t>
  </si>
  <si>
    <t>Deptos MAISA (15)</t>
  </si>
  <si>
    <t>Monto (UF)</t>
  </si>
  <si>
    <t>Deuda</t>
  </si>
  <si>
    <t>Deptos F.Esc/Bco Alzante/Ingreso CBR</t>
  </si>
  <si>
    <t>Saldo</t>
  </si>
  <si>
    <t>Venta al año 5 (90% del Precio de lista actual)</t>
  </si>
  <si>
    <t>Valor Total Lista Deptos + Est + Bod</t>
  </si>
  <si>
    <t>Valor Financ. Itaú (72%)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</si>
</sst>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 * #,##0.00_ ;_ * \-#,##0.00_ ;_ * &quot;-&quot;_ ;_ @_ "/>
    <numFmt numFmtId="165" formatCode="_ * #,##0.0000_ ;_ * \-#,##0.0000_ ;_ * &quot;-&quot;_ ;_ @_ "/>
    <numFmt numFmtId="166" formatCode="0.0%"/>
    <numFmt numFmtId="167" formatCode="_ &quot;$&quot;* #,##0.0_ ;_ &quot;$&quot;* \-#,##0.0_ ;_ &quot;$&quot;* &quot;-&quot;_ ;_ @_ "/>
    <numFmt numFmtId="168" formatCode="_ &quot;$&quot;* #,##0.00_ ;_ &quot;$&quot;* \-#,##0.00_ ;_ &quot;$&quot;* &quot;-&quot;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7"/>
      <color rgb="FF706F6F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39997558519241921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indexed="64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indexed="64"/>
      </bottom>
      <diagonal/>
    </border>
    <border>
      <left style="thin">
        <color theme="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theme="2" tint="-9.985656300546282E-2"/>
      </top>
      <bottom style="thin">
        <color theme="2" tint="-9.985656300546282E-2"/>
      </bottom>
      <diagonal/>
    </border>
    <border>
      <left/>
      <right/>
      <top style="thin">
        <color theme="2" tint="-9.9887081514938816E-2"/>
      </top>
      <bottom style="thin">
        <color theme="2" tint="-9.9948118533890809E-2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/>
      <top style="thin">
        <color theme="2" tint="-9.9887081514938816E-2"/>
      </top>
      <bottom style="thin">
        <color theme="2" tint="-9.982604449598681E-2"/>
      </bottom>
      <diagonal/>
    </border>
    <border>
      <left/>
      <right/>
      <top style="thin">
        <color theme="2" tint="-9.982604449598681E-2"/>
      </top>
      <bottom style="thin">
        <color theme="2" tint="-9.982604449598681E-2"/>
      </bottom>
      <diagonal/>
    </border>
    <border>
      <left/>
      <right/>
      <top style="thin">
        <color theme="2" tint="-9.982604449598681E-2"/>
      </top>
      <bottom style="thin">
        <color theme="2" tint="-9.985656300546282E-2"/>
      </bottom>
      <diagonal/>
    </border>
    <border>
      <left style="thin">
        <color theme="2" tint="-9.9917600024414813E-2"/>
      </left>
      <right style="thin">
        <color theme="2" tint="-9.985656300546282E-2"/>
      </right>
      <top style="thin">
        <color theme="2" tint="-9.9887081514938816E-2"/>
      </top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85656300546282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887081514938816E-2"/>
      </left>
      <right style="thin">
        <color theme="2" tint="-9.985656300546282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887081514938816E-2"/>
      </left>
      <right style="thin">
        <color theme="2" tint="-9.985656300546282E-2"/>
      </right>
      <top/>
      <bottom/>
      <diagonal/>
    </border>
    <border>
      <left style="thin">
        <color theme="2" tint="-9.9887081514938816E-2"/>
      </left>
      <right style="thin">
        <color theme="2" tint="-9.985656300546282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85656300546282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2"/>
      </right>
      <top/>
      <bottom style="thin">
        <color indexed="64"/>
      </bottom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/>
    <xf numFmtId="9" fontId="2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81">
    <xf numFmtId="0" fontId="0" fillId="0" borderId="0" xfId="0"/>
    <xf numFmtId="0" fontId="1" fillId="0" borderId="0" xfId="0" applyFont="1"/>
    <xf numFmtId="41" fontId="0" fillId="0" borderId="0" xfId="0" applyNumberFormat="1"/>
    <xf numFmtId="0" fontId="0" fillId="0" borderId="0" xfId="0" applyAlignment="1">
      <alignment horizontal="center"/>
    </xf>
    <xf numFmtId="41" fontId="0" fillId="0" borderId="0" xfId="3" applyFont="1"/>
    <xf numFmtId="0" fontId="0" fillId="0" borderId="1" xfId="0" applyBorder="1"/>
    <xf numFmtId="41" fontId="1" fillId="0" borderId="0" xfId="0" applyNumberFormat="1" applyFont="1"/>
    <xf numFmtId="4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42" fontId="0" fillId="0" borderId="1" xfId="5" applyFont="1" applyBorder="1"/>
    <xf numFmtId="42" fontId="0" fillId="0" borderId="0" xfId="0" applyNumberFormat="1"/>
    <xf numFmtId="9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6" fontId="0" fillId="0" borderId="0" xfId="6" applyNumberFormat="1" applyFont="1"/>
    <xf numFmtId="164" fontId="0" fillId="0" borderId="0" xfId="3" applyNumberFormat="1" applyFont="1"/>
    <xf numFmtId="2" fontId="0" fillId="0" borderId="0" xfId="0" applyNumberFormat="1"/>
    <xf numFmtId="43" fontId="0" fillId="0" borderId="0" xfId="0" applyNumberFormat="1"/>
    <xf numFmtId="10" fontId="0" fillId="0" borderId="0" xfId="0" applyNumberFormat="1"/>
    <xf numFmtId="0" fontId="0" fillId="0" borderId="4" xfId="0" applyBorder="1"/>
    <xf numFmtId="41" fontId="0" fillId="4" borderId="4" xfId="3" applyFont="1" applyFill="1" applyBorder="1"/>
    <xf numFmtId="41" fontId="1" fillId="4" borderId="4" xfId="3" applyFont="1" applyFill="1" applyBorder="1"/>
    <xf numFmtId="0" fontId="0" fillId="0" borderId="5" xfId="0" applyBorder="1"/>
    <xf numFmtId="164" fontId="0" fillId="0" borderId="6" xfId="3" applyNumberFormat="1" applyFont="1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  <xf numFmtId="164" fontId="0" fillId="0" borderId="9" xfId="3" applyNumberFormat="1" applyFont="1" applyBorder="1"/>
    <xf numFmtId="164" fontId="0" fillId="0" borderId="10" xfId="0" applyNumberFormat="1" applyBorder="1"/>
    <xf numFmtId="0" fontId="0" fillId="0" borderId="11" xfId="0" applyBorder="1"/>
    <xf numFmtId="164" fontId="0" fillId="0" borderId="12" xfId="3" applyNumberFormat="1" applyFont="1" applyBorder="1"/>
    <xf numFmtId="164" fontId="0" fillId="0" borderId="13" xfId="0" applyNumberFormat="1" applyBorder="1"/>
    <xf numFmtId="0" fontId="0" fillId="0" borderId="13" xfId="0" applyBorder="1"/>
    <xf numFmtId="43" fontId="0" fillId="0" borderId="12" xfId="0" applyNumberFormat="1" applyBorder="1"/>
    <xf numFmtId="0" fontId="5" fillId="3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42" fontId="0" fillId="0" borderId="9" xfId="5" applyFont="1" applyBorder="1"/>
    <xf numFmtId="164" fontId="0" fillId="4" borderId="9" xfId="3" applyNumberFormat="1" applyFont="1" applyFill="1" applyBorder="1" applyAlignment="1">
      <alignment horizontal="center" vertical="center"/>
    </xf>
    <xf numFmtId="41" fontId="0" fillId="0" borderId="9" xfId="3" applyFont="1" applyBorder="1"/>
    <xf numFmtId="41" fontId="0" fillId="0" borderId="9" xfId="0" applyNumberFormat="1" applyBorder="1" applyAlignment="1">
      <alignment horizontal="center" vertical="center"/>
    </xf>
    <xf numFmtId="41" fontId="0" fillId="0" borderId="9" xfId="0" applyNumberFormat="1" applyBorder="1"/>
    <xf numFmtId="43" fontId="0" fillId="0" borderId="9" xfId="0" applyNumberFormat="1" applyBorder="1"/>
    <xf numFmtId="43" fontId="0" fillId="0" borderId="10" xfId="0" applyNumberFormat="1" applyBorder="1"/>
    <xf numFmtId="0" fontId="0" fillId="2" borderId="8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42" fontId="0" fillId="0" borderId="12" xfId="5" applyFont="1" applyBorder="1"/>
    <xf numFmtId="164" fontId="0" fillId="4" borderId="12" xfId="3" applyNumberFormat="1" applyFont="1" applyFill="1" applyBorder="1" applyAlignment="1">
      <alignment horizontal="center" vertical="center"/>
    </xf>
    <xf numFmtId="41" fontId="0" fillId="0" borderId="12" xfId="3" applyFont="1" applyBorder="1"/>
    <xf numFmtId="41" fontId="0" fillId="0" borderId="12" xfId="0" applyNumberFormat="1" applyBorder="1" applyAlignment="1">
      <alignment horizontal="center" vertical="center"/>
    </xf>
    <xf numFmtId="41" fontId="0" fillId="0" borderId="12" xfId="0" applyNumberFormat="1" applyBorder="1"/>
    <xf numFmtId="43" fontId="0" fillId="0" borderId="13" xfId="0" applyNumberFormat="1" applyBorder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41" fontId="0" fillId="0" borderId="9" xfId="3" applyFont="1" applyBorder="1" applyAlignment="1">
      <alignment horizontal="center"/>
    </xf>
    <xf numFmtId="42" fontId="0" fillId="0" borderId="9" xfId="5" applyFont="1" applyBorder="1" applyAlignment="1">
      <alignment horizontal="center"/>
    </xf>
    <xf numFmtId="9" fontId="0" fillId="0" borderId="9" xfId="6" applyFont="1" applyBorder="1" applyAlignment="1">
      <alignment horizontal="center" vertical="center"/>
    </xf>
    <xf numFmtId="42" fontId="0" fillId="0" borderId="10" xfId="5" applyFont="1" applyBorder="1"/>
    <xf numFmtId="41" fontId="0" fillId="0" borderId="12" xfId="3" applyFont="1" applyBorder="1" applyAlignment="1">
      <alignment horizontal="center"/>
    </xf>
    <xf numFmtId="42" fontId="0" fillId="0" borderId="12" xfId="5" applyFont="1" applyBorder="1" applyAlignment="1">
      <alignment horizontal="center"/>
    </xf>
    <xf numFmtId="9" fontId="0" fillId="0" borderId="12" xfId="6" applyFont="1" applyBorder="1" applyAlignment="1">
      <alignment horizontal="center" vertical="center"/>
    </xf>
    <xf numFmtId="42" fontId="0" fillId="0" borderId="13" xfId="5" applyFont="1" applyBorder="1"/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vertical="center" wrapText="1"/>
    </xf>
    <xf numFmtId="0" fontId="0" fillId="0" borderId="10" xfId="0" applyBorder="1"/>
    <xf numFmtId="0" fontId="5" fillId="3" borderId="15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164" fontId="5" fillId="3" borderId="15" xfId="3" applyNumberFormat="1" applyFont="1" applyFill="1" applyBorder="1" applyAlignment="1">
      <alignment horizontal="center" vertical="center"/>
    </xf>
    <xf numFmtId="164" fontId="5" fillId="3" borderId="16" xfId="3" applyNumberFormat="1" applyFont="1" applyFill="1" applyBorder="1" applyAlignment="1">
      <alignment horizontal="center" vertical="center"/>
    </xf>
    <xf numFmtId="164" fontId="5" fillId="3" borderId="1" xfId="3" applyNumberFormat="1" applyFont="1" applyFill="1" applyBorder="1" applyAlignment="1">
      <alignment horizontal="center" vertical="center"/>
    </xf>
    <xf numFmtId="164" fontId="5" fillId="3" borderId="6" xfId="3" applyNumberFormat="1" applyFont="1" applyFill="1" applyBorder="1" applyAlignment="1">
      <alignment horizontal="center" vertical="center"/>
    </xf>
    <xf numFmtId="164" fontId="5" fillId="3" borderId="12" xfId="3" applyNumberFormat="1" applyFont="1" applyFill="1" applyBorder="1" applyAlignment="1">
      <alignment horizontal="center" vertical="center"/>
    </xf>
    <xf numFmtId="164" fontId="1" fillId="2" borderId="15" xfId="3" applyNumberFormat="1" applyFont="1" applyFill="1" applyBorder="1" applyAlignment="1">
      <alignment horizontal="center" vertical="center"/>
    </xf>
    <xf numFmtId="164" fontId="1" fillId="2" borderId="16" xfId="3" applyNumberFormat="1" applyFont="1" applyFill="1" applyBorder="1" applyAlignment="1">
      <alignment horizontal="center" vertical="center"/>
    </xf>
    <xf numFmtId="0" fontId="0" fillId="0" borderId="17" xfId="0" applyBorder="1"/>
    <xf numFmtId="164" fontId="0" fillId="0" borderId="19" xfId="0" applyNumberFormat="1" applyBorder="1"/>
    <xf numFmtId="0" fontId="5" fillId="3" borderId="22" xfId="0" applyFont="1" applyFill="1" applyBorder="1" applyAlignment="1">
      <alignment horizontal="center" vertical="center"/>
    </xf>
    <xf numFmtId="164" fontId="5" fillId="3" borderId="20" xfId="3" applyNumberFormat="1" applyFont="1" applyFill="1" applyBorder="1" applyAlignment="1">
      <alignment horizontal="center" vertical="center"/>
    </xf>
    <xf numFmtId="164" fontId="5" fillId="3" borderId="21" xfId="3" applyNumberFormat="1" applyFont="1" applyFill="1" applyBorder="1" applyAlignment="1">
      <alignment horizontal="center" vertical="center"/>
    </xf>
    <xf numFmtId="0" fontId="0" fillId="0" borderId="24" xfId="0" applyBorder="1"/>
    <xf numFmtId="164" fontId="0" fillId="0" borderId="25" xfId="3" applyNumberFormat="1" applyFont="1" applyBorder="1"/>
    <xf numFmtId="164" fontId="0" fillId="0" borderId="26" xfId="3" applyNumberFormat="1" applyFont="1" applyBorder="1"/>
    <xf numFmtId="164" fontId="0" fillId="0" borderId="27" xfId="3" applyNumberFormat="1" applyFont="1" applyBorder="1"/>
    <xf numFmtId="43" fontId="1" fillId="7" borderId="0" xfId="0" applyNumberFormat="1" applyFont="1" applyFill="1"/>
    <xf numFmtId="0" fontId="5" fillId="3" borderId="14" xfId="0" applyFont="1" applyFill="1" applyBorder="1" applyAlignment="1">
      <alignment horizontal="center" vertical="center"/>
    </xf>
    <xf numFmtId="41" fontId="5" fillId="3" borderId="14" xfId="3" applyFont="1" applyFill="1" applyBorder="1" applyAlignment="1">
      <alignment horizontal="center" vertical="center"/>
    </xf>
    <xf numFmtId="41" fontId="5" fillId="3" borderId="15" xfId="3" applyFont="1" applyFill="1" applyBorder="1" applyAlignment="1">
      <alignment horizontal="center" vertical="center"/>
    </xf>
    <xf numFmtId="41" fontId="5" fillId="3" borderId="16" xfId="3" applyFont="1" applyFill="1" applyBorder="1" applyAlignment="1">
      <alignment horizontal="center" vertical="center"/>
    </xf>
    <xf numFmtId="2" fontId="5" fillId="3" borderId="14" xfId="0" applyNumberFormat="1" applyFont="1" applyFill="1" applyBorder="1" applyAlignment="1">
      <alignment horizontal="center" vertical="center"/>
    </xf>
    <xf numFmtId="2" fontId="5" fillId="3" borderId="15" xfId="0" applyNumberFormat="1" applyFont="1" applyFill="1" applyBorder="1" applyAlignment="1">
      <alignment horizontal="center" vertical="center"/>
    </xf>
    <xf numFmtId="2" fontId="5" fillId="3" borderId="16" xfId="0" applyNumberFormat="1" applyFont="1" applyFill="1" applyBorder="1" applyAlignment="1">
      <alignment horizontal="center" vertical="center"/>
    </xf>
    <xf numFmtId="4" fontId="5" fillId="3" borderId="15" xfId="0" applyNumberFormat="1" applyFont="1" applyFill="1" applyBorder="1" applyAlignment="1">
      <alignment horizontal="center" vertical="center"/>
    </xf>
    <xf numFmtId="4" fontId="5" fillId="3" borderId="16" xfId="0" applyNumberFormat="1" applyFont="1" applyFill="1" applyBorder="1" applyAlignment="1">
      <alignment horizontal="center" vertical="center"/>
    </xf>
    <xf numFmtId="4" fontId="6" fillId="0" borderId="0" xfId="0" applyNumberFormat="1" applyFont="1"/>
    <xf numFmtId="164" fontId="1" fillId="2" borderId="0" xfId="3" applyNumberFormat="1" applyFont="1" applyFill="1" applyBorder="1" applyAlignment="1">
      <alignment horizontal="center" vertical="center"/>
    </xf>
    <xf numFmtId="164" fontId="0" fillId="0" borderId="0" xfId="3" applyNumberFormat="1" applyFont="1" applyBorder="1"/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1" fontId="0" fillId="0" borderId="29" xfId="3" applyFont="1" applyBorder="1" applyAlignment="1">
      <alignment horizontal="center"/>
    </xf>
    <xf numFmtId="41" fontId="0" fillId="0" borderId="30" xfId="3" applyFont="1" applyBorder="1" applyAlignment="1">
      <alignment horizontal="center"/>
    </xf>
    <xf numFmtId="0" fontId="1" fillId="9" borderId="28" xfId="0" applyFont="1" applyFill="1" applyBorder="1" applyAlignment="1">
      <alignment horizontal="center" vertical="center" wrapText="1"/>
    </xf>
    <xf numFmtId="0" fontId="1" fillId="0" borderId="3" xfId="0" applyFont="1" applyBorder="1"/>
    <xf numFmtId="4" fontId="0" fillId="0" borderId="0" xfId="0" applyNumberFormat="1"/>
    <xf numFmtId="3" fontId="1" fillId="0" borderId="0" xfId="0" applyNumberFormat="1" applyFont="1"/>
    <xf numFmtId="9" fontId="0" fillId="0" borderId="0" xfId="6" applyFont="1"/>
    <xf numFmtId="0" fontId="1" fillId="10" borderId="2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0" fillId="5" borderId="0" xfId="0" applyFill="1"/>
    <xf numFmtId="164" fontId="0" fillId="5" borderId="0" xfId="3" applyNumberFormat="1" applyFont="1" applyFill="1"/>
    <xf numFmtId="2" fontId="0" fillId="5" borderId="0" xfId="0" applyNumberFormat="1" applyFill="1"/>
    <xf numFmtId="43" fontId="0" fillId="5" borderId="0" xfId="0" applyNumberFormat="1" applyFill="1"/>
    <xf numFmtId="41" fontId="0" fillId="0" borderId="18" xfId="3" applyFont="1" applyBorder="1" applyAlignment="1">
      <alignment horizontal="center"/>
    </xf>
    <xf numFmtId="164" fontId="1" fillId="4" borderId="15" xfId="3" applyNumberFormat="1" applyFont="1" applyFill="1" applyBorder="1" applyAlignment="1">
      <alignment horizontal="center" vertical="center"/>
    </xf>
    <xf numFmtId="43" fontId="0" fillId="4" borderId="0" xfId="0" applyNumberFormat="1" applyFill="1"/>
    <xf numFmtId="0" fontId="5" fillId="0" borderId="0" xfId="0" applyFont="1" applyAlignment="1">
      <alignment horizontal="center" vertical="center"/>
    </xf>
    <xf numFmtId="164" fontId="5" fillId="0" borderId="0" xfId="3" applyNumberFormat="1" applyFont="1" applyFill="1" applyBorder="1" applyAlignment="1">
      <alignment horizontal="center" vertical="center"/>
    </xf>
    <xf numFmtId="164" fontId="1" fillId="0" borderId="0" xfId="3" applyNumberFormat="1" applyFont="1" applyFill="1" applyBorder="1" applyAlignment="1">
      <alignment horizontal="center" vertical="center"/>
    </xf>
    <xf numFmtId="164" fontId="0" fillId="0" borderId="0" xfId="3" applyNumberFormat="1" applyFont="1" applyFill="1" applyBorder="1"/>
    <xf numFmtId="0" fontId="5" fillId="3" borderId="31" xfId="0" applyFont="1" applyFill="1" applyBorder="1" applyAlignment="1">
      <alignment horizontal="center" vertical="center"/>
    </xf>
    <xf numFmtId="164" fontId="0" fillId="0" borderId="32" xfId="3" applyNumberFormat="1" applyFont="1" applyBorder="1"/>
    <xf numFmtId="164" fontId="1" fillId="2" borderId="31" xfId="3" applyNumberFormat="1" applyFont="1" applyFill="1" applyBorder="1" applyAlignment="1">
      <alignment horizontal="center" vertical="center"/>
    </xf>
    <xf numFmtId="164" fontId="7" fillId="0" borderId="9" xfId="3" applyNumberFormat="1" applyFont="1" applyBorder="1"/>
    <xf numFmtId="164" fontId="7" fillId="0" borderId="12" xfId="3" applyNumberFormat="1" applyFont="1" applyBorder="1"/>
    <xf numFmtId="43" fontId="7" fillId="0" borderId="0" xfId="0" applyNumberFormat="1" applyFont="1"/>
    <xf numFmtId="43" fontId="1" fillId="0" borderId="0" xfId="0" applyNumberFormat="1" applyFont="1"/>
    <xf numFmtId="17" fontId="0" fillId="0" borderId="0" xfId="0" applyNumberFormat="1"/>
    <xf numFmtId="0" fontId="0" fillId="2" borderId="0" xfId="0" applyFill="1"/>
    <xf numFmtId="164" fontId="0" fillId="0" borderId="33" xfId="0" applyNumberFormat="1" applyBorder="1"/>
    <xf numFmtId="164" fontId="0" fillId="0" borderId="34" xfId="0" applyNumberFormat="1" applyBorder="1"/>
    <xf numFmtId="164" fontId="0" fillId="0" borderId="35" xfId="0" applyNumberFormat="1" applyBorder="1"/>
    <xf numFmtId="41" fontId="0" fillId="0" borderId="10" xfId="3" applyFont="1" applyBorder="1" applyAlignment="1">
      <alignment horizontal="center"/>
    </xf>
    <xf numFmtId="0" fontId="1" fillId="6" borderId="33" xfId="0" applyFont="1" applyFill="1" applyBorder="1" applyAlignment="1">
      <alignment horizontal="center" vertical="center" wrapText="1"/>
    </xf>
    <xf numFmtId="41" fontId="0" fillId="6" borderId="34" xfId="0" applyNumberFormat="1" applyFill="1" applyBorder="1" applyAlignment="1">
      <alignment horizontal="center"/>
    </xf>
    <xf numFmtId="0" fontId="0" fillId="0" borderId="2" xfId="0" applyBorder="1"/>
    <xf numFmtId="41" fontId="0" fillId="6" borderId="35" xfId="0" applyNumberFormat="1" applyFill="1" applyBorder="1" applyAlignment="1">
      <alignment horizontal="center"/>
    </xf>
    <xf numFmtId="41" fontId="0" fillId="4" borderId="0" xfId="3" applyFont="1" applyFill="1" applyBorder="1" applyAlignment="1">
      <alignment horizontal="center" vertical="center"/>
    </xf>
    <xf numFmtId="41" fontId="0" fillId="0" borderId="1" xfId="3" applyFont="1" applyBorder="1"/>
    <xf numFmtId="167" fontId="0" fillId="0" borderId="1" xfId="5" applyNumberFormat="1" applyFont="1" applyBorder="1"/>
    <xf numFmtId="168" fontId="0" fillId="0" borderId="1" xfId="5" applyNumberFormat="1" applyFont="1" applyBorder="1"/>
    <xf numFmtId="0" fontId="8" fillId="0" borderId="0" xfId="0" applyFont="1"/>
    <xf numFmtId="43" fontId="8" fillId="0" borderId="0" xfId="0" applyNumberFormat="1" applyFont="1"/>
    <xf numFmtId="164" fontId="8" fillId="0" borderId="0" xfId="3" applyNumberFormat="1" applyFont="1" applyFill="1" applyBorder="1"/>
    <xf numFmtId="2" fontId="8" fillId="0" borderId="0" xfId="0" applyNumberFormat="1" applyFont="1"/>
    <xf numFmtId="165" fontId="8" fillId="0" borderId="0" xfId="3" applyNumberFormat="1" applyFont="1" applyFill="1" applyBorder="1"/>
    <xf numFmtId="0" fontId="0" fillId="4" borderId="0" xfId="0" applyFill="1"/>
    <xf numFmtId="41" fontId="0" fillId="4" borderId="0" xfId="3" applyFont="1" applyFill="1"/>
    <xf numFmtId="164" fontId="0" fillId="4" borderId="0" xfId="3" applyNumberFormat="1" applyFont="1" applyFill="1"/>
    <xf numFmtId="2" fontId="0" fillId="4" borderId="0" xfId="0" applyNumberFormat="1" applyFill="1"/>
    <xf numFmtId="0" fontId="0" fillId="11" borderId="0" xfId="0" applyFill="1"/>
    <xf numFmtId="166" fontId="1" fillId="2" borderId="0" xfId="0" applyNumberFormat="1" applyFont="1" applyFill="1" applyAlignment="1">
      <alignment horizontal="center" vertical="center"/>
    </xf>
    <xf numFmtId="9" fontId="1" fillId="2" borderId="0" xfId="0" applyNumberFormat="1" applyFont="1" applyFill="1" applyAlignment="1">
      <alignment horizontal="center" vertical="center"/>
    </xf>
    <xf numFmtId="164" fontId="1" fillId="4" borderId="31" xfId="3" applyNumberFormat="1" applyFont="1" applyFill="1" applyBorder="1" applyAlignment="1">
      <alignment horizontal="center" vertical="center"/>
    </xf>
    <xf numFmtId="164" fontId="0" fillId="0" borderId="23" xfId="3" applyNumberFormat="1" applyFont="1" applyBorder="1"/>
    <xf numFmtId="164" fontId="0" fillId="0" borderId="36" xfId="3" applyNumberFormat="1" applyFont="1" applyBorder="1"/>
    <xf numFmtId="164" fontId="0" fillId="0" borderId="37" xfId="0" applyNumberFormat="1" applyBorder="1"/>
    <xf numFmtId="3" fontId="1" fillId="0" borderId="4" xfId="0" applyNumberFormat="1" applyFont="1" applyBorder="1"/>
    <xf numFmtId="0" fontId="1" fillId="0" borderId="33" xfId="0" applyFont="1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5" fillId="3" borderId="38" xfId="0" applyFont="1" applyFill="1" applyBorder="1" applyAlignment="1">
      <alignment horizontal="center"/>
    </xf>
    <xf numFmtId="41" fontId="0" fillId="0" borderId="0" xfId="3" applyFont="1" applyBorder="1" applyAlignment="1">
      <alignment horizontal="center" vertical="center"/>
    </xf>
    <xf numFmtId="41" fontId="0" fillId="0" borderId="0" xfId="3" applyFont="1" applyAlignment="1">
      <alignment horizontal="center" vertical="center"/>
    </xf>
    <xf numFmtId="0" fontId="10" fillId="0" borderId="0" xfId="0" applyFont="1"/>
    <xf numFmtId="41" fontId="10" fillId="0" borderId="0" xfId="3" applyFont="1" applyBorder="1" applyAlignment="1">
      <alignment horizontal="center" vertical="center"/>
    </xf>
    <xf numFmtId="41" fontId="10" fillId="0" borderId="0" xfId="3" applyFont="1" applyAlignment="1">
      <alignment horizontal="center" vertical="center"/>
    </xf>
    <xf numFmtId="3" fontId="10" fillId="0" borderId="39" xfId="3" applyNumberFormat="1" applyFont="1" applyBorder="1" applyAlignment="1">
      <alignment horizontal="center" vertical="center"/>
    </xf>
    <xf numFmtId="1" fontId="10" fillId="0" borderId="39" xfId="3" applyNumberFormat="1" applyFont="1" applyBorder="1" applyAlignment="1">
      <alignment horizontal="center" vertical="center"/>
    </xf>
    <xf numFmtId="0" fontId="1" fillId="2" borderId="0" xfId="0" applyFont="1" applyFill="1"/>
    <xf numFmtId="0" fontId="5" fillId="2" borderId="0" xfId="0" applyFont="1" applyFill="1" applyAlignment="1">
      <alignment horizontal="center"/>
    </xf>
    <xf numFmtId="3" fontId="9" fillId="0" borderId="39" xfId="3" applyNumberFormat="1" applyFont="1" applyBorder="1" applyAlignment="1">
      <alignment horizontal="center" vertical="center"/>
    </xf>
    <xf numFmtId="0" fontId="9" fillId="0" borderId="41" xfId="0" applyFont="1" applyBorder="1" applyAlignment="1">
      <alignment horizontal="center"/>
    </xf>
    <xf numFmtId="0" fontId="10" fillId="0" borderId="42" xfId="0" applyFont="1" applyBorder="1"/>
    <xf numFmtId="0" fontId="10" fillId="0" borderId="43" xfId="0" applyFont="1" applyBorder="1"/>
    <xf numFmtId="0" fontId="10" fillId="0" borderId="44" xfId="0" applyFont="1" applyBorder="1"/>
    <xf numFmtId="0" fontId="10" fillId="0" borderId="45" xfId="0" applyFont="1" applyBorder="1"/>
    <xf numFmtId="0" fontId="10" fillId="0" borderId="46" xfId="0" applyFont="1" applyBorder="1"/>
    <xf numFmtId="0" fontId="10" fillId="0" borderId="47" xfId="0" applyFont="1" applyBorder="1"/>
    <xf numFmtId="0" fontId="10" fillId="0" borderId="48" xfId="0" applyFont="1" applyBorder="1"/>
    <xf numFmtId="0" fontId="10" fillId="0" borderId="49" xfId="0" applyFont="1" applyBorder="1"/>
    <xf numFmtId="0" fontId="10" fillId="0" borderId="50" xfId="0" applyFont="1" applyBorder="1"/>
    <xf numFmtId="0" fontId="0" fillId="0" borderId="51" xfId="0" applyBorder="1"/>
    <xf numFmtId="164" fontId="0" fillId="0" borderId="20" xfId="3" applyNumberFormat="1" applyFont="1" applyBorder="1"/>
    <xf numFmtId="164" fontId="7" fillId="0" borderId="20" xfId="3" applyNumberFormat="1" applyFont="1" applyBorder="1"/>
    <xf numFmtId="164" fontId="0" fillId="0" borderId="22" xfId="0" applyNumberFormat="1" applyBorder="1"/>
    <xf numFmtId="0" fontId="9" fillId="2" borderId="53" xfId="0" applyFont="1" applyFill="1" applyBorder="1" applyAlignment="1">
      <alignment horizontal="center" vertical="center"/>
    </xf>
    <xf numFmtId="164" fontId="9" fillId="2" borderId="54" xfId="3" applyNumberFormat="1" applyFont="1" applyFill="1" applyBorder="1" applyAlignment="1">
      <alignment horizontal="center" vertical="center"/>
    </xf>
    <xf numFmtId="164" fontId="11" fillId="2" borderId="53" xfId="3" applyNumberFormat="1" applyFont="1" applyFill="1" applyBorder="1" applyAlignment="1">
      <alignment horizontal="center" vertical="center"/>
    </xf>
    <xf numFmtId="0" fontId="10" fillId="0" borderId="5" xfId="0" applyFont="1" applyBorder="1"/>
    <xf numFmtId="164" fontId="10" fillId="0" borderId="6" xfId="3" applyNumberFormat="1" applyFont="1" applyBorder="1"/>
    <xf numFmtId="164" fontId="10" fillId="0" borderId="32" xfId="3" applyNumberFormat="1" applyFont="1" applyBorder="1"/>
    <xf numFmtId="164" fontId="10" fillId="0" borderId="0" xfId="0" applyNumberFormat="1" applyFont="1"/>
    <xf numFmtId="0" fontId="10" fillId="0" borderId="8" xfId="0" applyFont="1" applyBorder="1"/>
    <xf numFmtId="164" fontId="10" fillId="0" borderId="9" xfId="3" applyNumberFormat="1" applyFont="1" applyBorder="1"/>
    <xf numFmtId="164" fontId="10" fillId="0" borderId="25" xfId="3" applyNumberFormat="1" applyFont="1" applyBorder="1"/>
    <xf numFmtId="164" fontId="10" fillId="0" borderId="10" xfId="0" applyNumberFormat="1" applyFont="1" applyBorder="1"/>
    <xf numFmtId="0" fontId="10" fillId="0" borderId="11" xfId="0" applyFont="1" applyBorder="1"/>
    <xf numFmtId="164" fontId="10" fillId="0" borderId="12" xfId="3" applyNumberFormat="1" applyFont="1" applyBorder="1"/>
    <xf numFmtId="164" fontId="10" fillId="0" borderId="26" xfId="3" applyNumberFormat="1" applyFont="1" applyBorder="1"/>
    <xf numFmtId="164" fontId="10" fillId="0" borderId="13" xfId="0" applyNumberFormat="1" applyFont="1" applyBorder="1"/>
    <xf numFmtId="0" fontId="10" fillId="0" borderId="17" xfId="0" applyFont="1" applyBorder="1"/>
    <xf numFmtId="164" fontId="10" fillId="0" borderId="19" xfId="0" applyNumberFormat="1" applyFont="1" applyBorder="1"/>
    <xf numFmtId="164" fontId="10" fillId="0" borderId="27" xfId="3" applyNumberFormat="1" applyFont="1" applyBorder="1"/>
    <xf numFmtId="0" fontId="10" fillId="0" borderId="24" xfId="0" applyFont="1" applyBorder="1"/>
    <xf numFmtId="164" fontId="10" fillId="0" borderId="23" xfId="3" applyNumberFormat="1" applyFont="1" applyBorder="1"/>
    <xf numFmtId="164" fontId="10" fillId="0" borderId="36" xfId="3" applyNumberFormat="1" applyFont="1" applyBorder="1"/>
    <xf numFmtId="164" fontId="10" fillId="0" borderId="37" xfId="0" applyNumberFormat="1" applyFont="1" applyBorder="1"/>
    <xf numFmtId="164" fontId="10" fillId="0" borderId="33" xfId="0" applyNumberFormat="1" applyFont="1" applyBorder="1"/>
    <xf numFmtId="164" fontId="9" fillId="0" borderId="0" xfId="3" applyNumberFormat="1" applyFont="1" applyFill="1" applyBorder="1" applyAlignment="1">
      <alignment horizontal="center" vertical="center"/>
    </xf>
    <xf numFmtId="0" fontId="10" fillId="0" borderId="52" xfId="0" applyFont="1" applyBorder="1"/>
    <xf numFmtId="164" fontId="9" fillId="0" borderId="12" xfId="3" applyNumberFormat="1" applyFont="1" applyBorder="1"/>
    <xf numFmtId="164" fontId="10" fillId="0" borderId="35" xfId="0" applyNumberFormat="1" applyFont="1" applyBorder="1"/>
    <xf numFmtId="0" fontId="11" fillId="2" borderId="53" xfId="0" applyFont="1" applyFill="1" applyBorder="1" applyAlignment="1">
      <alignment horizontal="center" vertical="center"/>
    </xf>
    <xf numFmtId="164" fontId="11" fillId="2" borderId="54" xfId="3" applyNumberFormat="1" applyFont="1" applyFill="1" applyBorder="1" applyAlignment="1">
      <alignment horizontal="center" vertical="center"/>
    </xf>
    <xf numFmtId="0" fontId="12" fillId="0" borderId="0" xfId="0" applyFont="1"/>
    <xf numFmtId="164" fontId="11" fillId="7" borderId="53" xfId="3" applyNumberFormat="1" applyFont="1" applyFill="1" applyBorder="1" applyAlignment="1">
      <alignment horizontal="center" vertical="center"/>
    </xf>
    <xf numFmtId="1" fontId="9" fillId="0" borderId="39" xfId="3" applyNumberFormat="1" applyFont="1" applyBorder="1" applyAlignment="1">
      <alignment horizontal="center" vertical="center"/>
    </xf>
    <xf numFmtId="164" fontId="9" fillId="2" borderId="15" xfId="3" applyNumberFormat="1" applyFont="1" applyFill="1" applyBorder="1" applyAlignment="1">
      <alignment horizontal="center" vertical="center"/>
    </xf>
    <xf numFmtId="0" fontId="10" fillId="8" borderId="8" xfId="0" applyFont="1" applyFill="1" applyBorder="1"/>
    <xf numFmtId="164" fontId="10" fillId="8" borderId="9" xfId="3" applyNumberFormat="1" applyFont="1" applyFill="1" applyBorder="1"/>
    <xf numFmtId="164" fontId="10" fillId="8" borderId="27" xfId="3" applyNumberFormat="1" applyFont="1" applyFill="1" applyBorder="1"/>
    <xf numFmtId="164" fontId="10" fillId="8" borderId="19" xfId="0" applyNumberFormat="1" applyFont="1" applyFill="1" applyBorder="1"/>
    <xf numFmtId="164" fontId="9" fillId="8" borderId="15" xfId="3" applyNumberFormat="1" applyFont="1" applyFill="1" applyBorder="1" applyAlignment="1">
      <alignment horizontal="center" vertical="center"/>
    </xf>
    <xf numFmtId="0" fontId="10" fillId="8" borderId="5" xfId="0" applyFont="1" applyFill="1" applyBorder="1"/>
    <xf numFmtId="164" fontId="10" fillId="8" borderId="6" xfId="3" applyNumberFormat="1" applyFont="1" applyFill="1" applyBorder="1"/>
    <xf numFmtId="164" fontId="10" fillId="8" borderId="32" xfId="3" applyNumberFormat="1" applyFont="1" applyFill="1" applyBorder="1"/>
    <xf numFmtId="164" fontId="10" fillId="8" borderId="7" xfId="0" applyNumberFormat="1" applyFont="1" applyFill="1" applyBorder="1"/>
    <xf numFmtId="0" fontId="0" fillId="0" borderId="58" xfId="0" applyBorder="1" applyAlignment="1">
      <alignment horizontal="center"/>
    </xf>
    <xf numFmtId="0" fontId="0" fillId="0" borderId="59" xfId="0" applyBorder="1"/>
    <xf numFmtId="41" fontId="0" fillId="0" borderId="60" xfId="3" applyFont="1" applyBorder="1" applyAlignment="1">
      <alignment horizontal="center"/>
    </xf>
    <xf numFmtId="41" fontId="0" fillId="0" borderId="61" xfId="3" applyFont="1" applyBorder="1" applyAlignment="1">
      <alignment horizontal="center"/>
    </xf>
    <xf numFmtId="0" fontId="1" fillId="5" borderId="28" xfId="0" applyFont="1" applyFill="1" applyBorder="1" applyAlignment="1">
      <alignment horizontal="center" vertical="center" wrapText="1"/>
    </xf>
    <xf numFmtId="0" fontId="0" fillId="11" borderId="3" xfId="0" applyFill="1" applyBorder="1"/>
    <xf numFmtId="0" fontId="0" fillId="0" borderId="0" xfId="0" applyAlignment="1">
      <alignment horizontal="center" vertical="center"/>
    </xf>
    <xf numFmtId="41" fontId="0" fillId="0" borderId="8" xfId="3" applyFont="1" applyBorder="1" applyAlignment="1">
      <alignment horizontal="center"/>
    </xf>
    <xf numFmtId="41" fontId="0" fillId="0" borderId="11" xfId="3" applyFont="1" applyBorder="1" applyAlignment="1">
      <alignment horizontal="center"/>
    </xf>
    <xf numFmtId="41" fontId="0" fillId="0" borderId="34" xfId="3" applyFont="1" applyBorder="1" applyAlignment="1">
      <alignment horizontal="center"/>
    </xf>
    <xf numFmtId="41" fontId="0" fillId="0" borderId="35" xfId="3" applyFont="1" applyBorder="1" applyAlignment="1">
      <alignment horizontal="center"/>
    </xf>
    <xf numFmtId="0" fontId="13" fillId="3" borderId="0" xfId="0" applyFont="1" applyFill="1"/>
    <xf numFmtId="0" fontId="0" fillId="2" borderId="8" xfId="3" applyNumberFormat="1" applyFont="1" applyFill="1" applyBorder="1" applyAlignment="1">
      <alignment horizontal="center"/>
    </xf>
    <xf numFmtId="164" fontId="1" fillId="0" borderId="22" xfId="0" applyNumberFormat="1" applyFont="1" applyBorder="1"/>
    <xf numFmtId="43" fontId="1" fillId="0" borderId="22" xfId="0" applyNumberFormat="1" applyFont="1" applyBorder="1"/>
    <xf numFmtId="0" fontId="0" fillId="2" borderId="11" xfId="3" applyNumberFormat="1" applyFont="1" applyFill="1" applyBorder="1" applyAlignment="1">
      <alignment horizontal="center"/>
    </xf>
    <xf numFmtId="42" fontId="0" fillId="5" borderId="1" xfId="5" applyFont="1" applyFill="1" applyBorder="1"/>
    <xf numFmtId="167" fontId="0" fillId="5" borderId="1" xfId="5" applyNumberFormat="1" applyFont="1" applyFill="1" applyBorder="1"/>
    <xf numFmtId="41" fontId="0" fillId="5" borderId="1" xfId="3" applyFont="1" applyFill="1" applyBorder="1"/>
    <xf numFmtId="0" fontId="1" fillId="2" borderId="6" xfId="0" applyFont="1" applyFill="1" applyBorder="1" applyAlignment="1">
      <alignment horizontal="center" vertical="center" wrapText="1"/>
    </xf>
    <xf numFmtId="41" fontId="0" fillId="6" borderId="8" xfId="3" applyFont="1" applyFill="1" applyBorder="1" applyAlignment="1">
      <alignment horizontal="center"/>
    </xf>
    <xf numFmtId="41" fontId="0" fillId="6" borderId="11" xfId="3" applyFont="1" applyFill="1" applyBorder="1" applyAlignment="1">
      <alignment horizontal="center"/>
    </xf>
    <xf numFmtId="41" fontId="15" fillId="0" borderId="22" xfId="3" applyFont="1" applyBorder="1"/>
    <xf numFmtId="41" fontId="15" fillId="0" borderId="22" xfId="3" applyFont="1" applyBorder="1" applyAlignment="1">
      <alignment horizontal="right"/>
    </xf>
    <xf numFmtId="0" fontId="0" fillId="2" borderId="58" xfId="3" applyNumberFormat="1" applyFont="1" applyFill="1" applyBorder="1" applyAlignment="1">
      <alignment horizontal="center"/>
    </xf>
    <xf numFmtId="41" fontId="15" fillId="0" borderId="0" xfId="3" applyFont="1" applyBorder="1" applyAlignment="1">
      <alignment horizontal="right"/>
    </xf>
    <xf numFmtId="0" fontId="14" fillId="12" borderId="62" xfId="0" applyFont="1" applyFill="1" applyBorder="1" applyAlignment="1">
      <alignment horizontal="center"/>
    </xf>
    <xf numFmtId="3" fontId="14" fillId="12" borderId="62" xfId="0" applyNumberFormat="1" applyFont="1" applyFill="1" applyBorder="1" applyAlignment="1">
      <alignment horizontal="center" wrapText="1"/>
    </xf>
    <xf numFmtId="3" fontId="14" fillId="12" borderId="0" xfId="0" applyNumberFormat="1" applyFont="1" applyFill="1" applyAlignment="1">
      <alignment horizontal="center"/>
    </xf>
    <xf numFmtId="0" fontId="0" fillId="13" borderId="0" xfId="0" applyFill="1" applyAlignment="1">
      <alignment horizontal="center" wrapText="1"/>
    </xf>
    <xf numFmtId="0" fontId="5" fillId="3" borderId="0" xfId="0" applyFont="1" applyFill="1"/>
    <xf numFmtId="3" fontId="10" fillId="2" borderId="0" xfId="0" applyNumberFormat="1" applyFont="1" applyFill="1" applyAlignment="1">
      <alignment horizontal="center"/>
    </xf>
    <xf numFmtId="9" fontId="10" fillId="2" borderId="0" xfId="6" applyFont="1" applyFill="1" applyBorder="1" applyAlignment="1">
      <alignment horizontal="center"/>
    </xf>
    <xf numFmtId="3" fontId="9" fillId="2" borderId="0" xfId="3" applyNumberFormat="1" applyFont="1" applyFill="1" applyBorder="1" applyAlignment="1">
      <alignment horizontal="center" vertical="center"/>
    </xf>
    <xf numFmtId="3" fontId="10" fillId="2" borderId="0" xfId="3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/>
    </xf>
    <xf numFmtId="41" fontId="10" fillId="2" borderId="0" xfId="3" applyFont="1" applyFill="1" applyBorder="1" applyAlignment="1">
      <alignment horizontal="center" vertical="center"/>
    </xf>
    <xf numFmtId="41" fontId="0" fillId="2" borderId="0" xfId="3" applyFont="1" applyFill="1" applyBorder="1" applyAlignment="1">
      <alignment horizontal="center" vertical="center"/>
    </xf>
    <xf numFmtId="41" fontId="0" fillId="2" borderId="0" xfId="3" applyFont="1" applyFill="1" applyAlignment="1">
      <alignment horizontal="center" vertical="center"/>
    </xf>
    <xf numFmtId="41" fontId="0" fillId="2" borderId="0" xfId="3" applyFont="1" applyFill="1"/>
    <xf numFmtId="41" fontId="10" fillId="0" borderId="0" xfId="3" applyFont="1"/>
    <xf numFmtId="0" fontId="10" fillId="0" borderId="4" xfId="0" applyFont="1" applyBorder="1"/>
    <xf numFmtId="41" fontId="10" fillId="0" borderId="4" xfId="3" applyFont="1" applyBorder="1"/>
    <xf numFmtId="0" fontId="9" fillId="2" borderId="55" xfId="0" applyFont="1" applyFill="1" applyBorder="1" applyAlignment="1">
      <alignment horizontal="center"/>
    </xf>
    <xf numFmtId="0" fontId="9" fillId="2" borderId="56" xfId="0" applyFont="1" applyFill="1" applyBorder="1" applyAlignment="1">
      <alignment horizontal="center"/>
    </xf>
    <xf numFmtId="0" fontId="9" fillId="2" borderId="57" xfId="0" applyFont="1" applyFill="1" applyBorder="1" applyAlignment="1">
      <alignment horizontal="center"/>
    </xf>
    <xf numFmtId="3" fontId="10" fillId="0" borderId="40" xfId="0" applyNumberFormat="1" applyFont="1" applyBorder="1" applyAlignment="1">
      <alignment horizontal="center"/>
    </xf>
    <xf numFmtId="3" fontId="9" fillId="0" borderId="40" xfId="0" applyNumberFormat="1" applyFont="1" applyBorder="1" applyAlignment="1">
      <alignment horizontal="center"/>
    </xf>
    <xf numFmtId="9" fontId="10" fillId="0" borderId="40" xfId="6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7">
    <cellStyle name="Millares [0]" xfId="3" builtinId="6"/>
    <cellStyle name="Millares [0] 2" xfId="4" xr:uid="{2AD9FF6C-160D-400B-9ED2-54805280C1FC}"/>
    <cellStyle name="Moneda [0]" xfId="5" builtinId="7"/>
    <cellStyle name="Normal" xfId="0" builtinId="0"/>
    <cellStyle name="Normal 2" xfId="1" xr:uid="{00000000-0005-0000-0000-000003000000}"/>
    <cellStyle name="Porcentaje" xfId="6" builtinId="5"/>
    <cellStyle name="Porcentaje 2" xfId="2" xr:uid="{00000000-0005-0000-0000-000004000000}"/>
  </cellStyles>
  <dxfs count="0"/>
  <tableStyles count="1" defaultTableStyle="TableStyleMedium2" defaultPivotStyle="PivotStyleLight16">
    <tableStyle name="Invisible" pivot="0" table="0" count="0" xr9:uid="{140F8751-149C-4C5E-A39F-492AF8C44667}"/>
  </tableStyles>
  <colors>
    <mruColors>
      <color rgb="FFFF9999"/>
      <color rgb="FFFF7C80"/>
      <color rgb="FFFF5050"/>
      <color rgb="FFD0F6AA"/>
      <color rgb="FFFF9900"/>
      <color rgb="FFC16203"/>
      <color rgb="FF09DEE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70103-C0A9-40D6-A46D-CCE919416A98}">
  <sheetPr>
    <pageSetUpPr fitToPage="1"/>
  </sheetPr>
  <dimension ref="C1:K23"/>
  <sheetViews>
    <sheetView showGridLines="0" zoomScale="110" zoomScaleNormal="110" workbookViewId="0">
      <selection activeCell="B1" sqref="B1:H17"/>
    </sheetView>
  </sheetViews>
  <sheetFormatPr baseColWidth="10" defaultRowHeight="14.4" x14ac:dyDescent="0.3"/>
  <cols>
    <col min="1" max="1" width="6.88671875" customWidth="1"/>
    <col min="2" max="2" width="1.88671875" customWidth="1"/>
    <col min="3" max="3" width="39.88671875" bestFit="1" customWidth="1"/>
    <col min="4" max="4" width="2.77734375" customWidth="1"/>
    <col min="5" max="5" width="40.6640625" customWidth="1"/>
    <col min="6" max="6" width="3.6640625" customWidth="1"/>
    <col min="7" max="7" width="37.33203125" customWidth="1"/>
    <col min="8" max="8" width="1.5546875" style="131" customWidth="1"/>
    <col min="9" max="9" width="8.21875" customWidth="1"/>
    <col min="10" max="10" width="33.33203125" bestFit="1" customWidth="1"/>
  </cols>
  <sheetData>
    <row r="1" spans="3:11" ht="15" thickBot="1" x14ac:dyDescent="0.35"/>
    <row r="2" spans="3:11" ht="15" thickBot="1" x14ac:dyDescent="0.35">
      <c r="C2" s="175" t="s">
        <v>131</v>
      </c>
      <c r="D2" s="8"/>
      <c r="E2" s="164" t="s">
        <v>177</v>
      </c>
      <c r="G2" s="164" t="s">
        <v>130</v>
      </c>
      <c r="H2" s="173"/>
      <c r="J2" s="261" t="s">
        <v>185</v>
      </c>
      <c r="K2" s="261" t="s">
        <v>184</v>
      </c>
    </row>
    <row r="3" spans="3:11" ht="6.6" customHeight="1" x14ac:dyDescent="0.3">
      <c r="C3" s="172"/>
      <c r="D3" s="172"/>
      <c r="E3" s="173"/>
      <c r="F3" s="131"/>
      <c r="G3" s="173"/>
      <c r="H3" s="173"/>
    </row>
    <row r="4" spans="3:11" x14ac:dyDescent="0.3">
      <c r="C4" s="179" t="s">
        <v>132</v>
      </c>
      <c r="D4" s="176"/>
      <c r="E4" s="277">
        <v>15</v>
      </c>
      <c r="F4" s="277"/>
      <c r="G4" s="277"/>
      <c r="H4" s="262"/>
      <c r="J4" s="167" t="s">
        <v>182</v>
      </c>
      <c r="K4" s="271">
        <v>115446</v>
      </c>
    </row>
    <row r="5" spans="3:11" x14ac:dyDescent="0.3">
      <c r="C5" s="180" t="s">
        <v>189</v>
      </c>
      <c r="D5" s="177"/>
      <c r="E5" s="277">
        <f>'IVA Dptos'!$F$48</f>
        <v>83063</v>
      </c>
      <c r="F5" s="277"/>
      <c r="G5" s="277">
        <f>'IVA Dptos'!$F$48</f>
        <v>83063</v>
      </c>
      <c r="H5" s="262"/>
      <c r="J5" s="167" t="s">
        <v>183</v>
      </c>
      <c r="K5" s="271">
        <f>'Crédito Comercial 12A'!D4</f>
        <v>59805.36</v>
      </c>
    </row>
    <row r="6" spans="3:11" x14ac:dyDescent="0.3">
      <c r="C6" s="180" t="s">
        <v>190</v>
      </c>
      <c r="D6" s="177"/>
      <c r="E6" s="277">
        <f>'Crédito Comercial 12A'!$D$3</f>
        <v>59805.36</v>
      </c>
      <c r="F6" s="277"/>
      <c r="G6" s="277">
        <f>'Crédito Comercial 12A'!$D$3</f>
        <v>59805.36</v>
      </c>
      <c r="H6" s="262"/>
      <c r="J6" s="167" t="s">
        <v>186</v>
      </c>
      <c r="K6" s="271">
        <v>46478</v>
      </c>
    </row>
    <row r="7" spans="3:11" ht="15" thickBot="1" x14ac:dyDescent="0.35">
      <c r="C7" s="180" t="s">
        <v>178</v>
      </c>
      <c r="D7" s="177"/>
      <c r="E7" s="279">
        <v>0.28000000000000003</v>
      </c>
      <c r="F7" s="279"/>
      <c r="G7" s="279">
        <v>0.25</v>
      </c>
      <c r="H7" s="263"/>
      <c r="J7" s="272" t="s">
        <v>187</v>
      </c>
      <c r="K7" s="273">
        <f>K4-K5-K6</f>
        <v>9162.64</v>
      </c>
    </row>
    <row r="8" spans="3:11" x14ac:dyDescent="0.3">
      <c r="C8" s="180" t="s">
        <v>141</v>
      </c>
      <c r="D8" s="177"/>
      <c r="E8" s="279" t="s">
        <v>179</v>
      </c>
      <c r="F8" s="279"/>
      <c r="G8" s="279"/>
      <c r="H8" s="263"/>
      <c r="K8" s="4"/>
    </row>
    <row r="9" spans="3:11" x14ac:dyDescent="0.3">
      <c r="C9" s="181" t="s">
        <v>134</v>
      </c>
      <c r="D9" s="177"/>
      <c r="E9" s="277">
        <f>SUM('Flujo 5 años C12'!F4:F5)</f>
        <v>8336.2368389936855</v>
      </c>
      <c r="F9" s="277"/>
      <c r="G9" s="277">
        <f>SUM('Flujo 5 años C20'!F4:F5)</f>
        <v>8336.2368389936855</v>
      </c>
      <c r="H9" s="262"/>
      <c r="K9" s="4"/>
    </row>
    <row r="10" spans="3:11" x14ac:dyDescent="0.3">
      <c r="C10" s="182" t="s">
        <v>138</v>
      </c>
      <c r="D10" s="177"/>
      <c r="E10" s="277" t="s">
        <v>180</v>
      </c>
      <c r="F10" s="277"/>
      <c r="G10" s="277"/>
      <c r="H10" s="262"/>
      <c r="J10" s="4"/>
      <c r="K10" s="4"/>
    </row>
    <row r="11" spans="3:11" x14ac:dyDescent="0.3">
      <c r="C11" s="181" t="s">
        <v>136</v>
      </c>
      <c r="D11" s="177"/>
      <c r="E11" s="277">
        <f>'Flujo 5 años C12'!N3</f>
        <v>13068.242058001604</v>
      </c>
      <c r="F11" s="277"/>
      <c r="G11" s="277"/>
      <c r="H11" s="262"/>
      <c r="J11" s="4"/>
      <c r="K11" s="4"/>
    </row>
    <row r="12" spans="3:11" x14ac:dyDescent="0.3">
      <c r="C12" s="182" t="s">
        <v>137</v>
      </c>
      <c r="D12" s="177"/>
      <c r="E12" s="174">
        <f>'Flujo 5 años C12'!N13</f>
        <v>33188.042486456332</v>
      </c>
      <c r="F12" s="220"/>
      <c r="G12" s="174">
        <f>'Flujo 5 años C20'!N13</f>
        <v>23681.334340750989</v>
      </c>
      <c r="H12" s="264"/>
      <c r="J12" s="4"/>
      <c r="K12" s="4"/>
    </row>
    <row r="13" spans="3:11" x14ac:dyDescent="0.3">
      <c r="C13" s="183" t="s">
        <v>135</v>
      </c>
      <c r="D13" s="177"/>
      <c r="E13" s="174">
        <f>'Flujo 5 años C12'!J28</f>
        <v>39135.248332704017</v>
      </c>
      <c r="F13" s="220"/>
      <c r="G13" s="174">
        <f>'Flujo 5 años C20'!J28</f>
        <v>49910.481361046586</v>
      </c>
      <c r="H13" s="264"/>
      <c r="J13" s="4"/>
    </row>
    <row r="14" spans="3:11" x14ac:dyDescent="0.3">
      <c r="C14" s="183" t="s">
        <v>181</v>
      </c>
      <c r="D14" s="177"/>
      <c r="E14" s="170">
        <f>'Flujo 5 años C12'!N30</f>
        <v>13000</v>
      </c>
      <c r="F14" s="171"/>
      <c r="G14" s="170">
        <f>'Flujo 5 años C20'!N30</f>
        <v>4500</v>
      </c>
      <c r="H14" s="265"/>
      <c r="J14" s="4"/>
    </row>
    <row r="15" spans="3:11" x14ac:dyDescent="0.3">
      <c r="C15" s="180" t="s">
        <v>188</v>
      </c>
      <c r="D15" s="177"/>
      <c r="E15" s="278">
        <f>'Flujo 5 años C12'!J6</f>
        <v>74756.7</v>
      </c>
      <c r="F15" s="278"/>
      <c r="G15" s="278"/>
      <c r="H15" s="266"/>
      <c r="J15" s="4"/>
    </row>
    <row r="16" spans="3:11" x14ac:dyDescent="0.3">
      <c r="C16" s="184" t="s">
        <v>133</v>
      </c>
      <c r="D16" s="178"/>
      <c r="E16" s="170">
        <f>'Flujo 5 años C12'!M38</f>
        <v>10075.894144089296</v>
      </c>
      <c r="F16" s="171"/>
      <c r="G16" s="170">
        <f>'Flujo 5 años C20'!M38</f>
        <v>10234.86926145207</v>
      </c>
      <c r="H16" s="265"/>
      <c r="J16" s="4"/>
    </row>
    <row r="17" spans="3:10" x14ac:dyDescent="0.3">
      <c r="C17" s="167"/>
      <c r="D17" s="167"/>
      <c r="E17" s="168"/>
      <c r="F17" s="169"/>
      <c r="G17" s="168"/>
      <c r="H17" s="267"/>
      <c r="J17" s="4"/>
    </row>
    <row r="18" spans="3:10" x14ac:dyDescent="0.3">
      <c r="C18" s="167"/>
      <c r="D18" s="167"/>
      <c r="E18" s="168"/>
      <c r="F18" s="169"/>
      <c r="G18" s="168"/>
      <c r="H18" s="267"/>
      <c r="J18" s="4"/>
    </row>
    <row r="19" spans="3:10" x14ac:dyDescent="0.3">
      <c r="C19" s="167"/>
      <c r="D19" s="167"/>
      <c r="E19" s="168"/>
      <c r="F19" s="169"/>
      <c r="G19" s="168"/>
      <c r="H19" s="267"/>
      <c r="J19" s="4"/>
    </row>
    <row r="20" spans="3:10" x14ac:dyDescent="0.3">
      <c r="E20" s="165"/>
      <c r="F20" s="166"/>
      <c r="G20" s="165"/>
      <c r="H20" s="268"/>
      <c r="J20" s="4"/>
    </row>
    <row r="21" spans="3:10" x14ac:dyDescent="0.3">
      <c r="E21" s="165"/>
      <c r="F21" s="166"/>
      <c r="G21" s="165"/>
      <c r="H21" s="268"/>
      <c r="J21" s="4"/>
    </row>
    <row r="22" spans="3:10" x14ac:dyDescent="0.3">
      <c r="E22" s="166"/>
      <c r="F22" s="166"/>
      <c r="G22" s="166"/>
      <c r="H22" s="269"/>
      <c r="I22" s="166"/>
      <c r="J22" s="4"/>
    </row>
    <row r="23" spans="3:10" x14ac:dyDescent="0.3">
      <c r="E23" s="4"/>
      <c r="F23" s="4"/>
      <c r="G23" s="4"/>
      <c r="H23" s="270"/>
      <c r="I23" s="4"/>
      <c r="J23" s="4"/>
    </row>
  </sheetData>
  <mergeCells count="9">
    <mergeCell ref="E11:G11"/>
    <mergeCell ref="E15:G15"/>
    <mergeCell ref="E4:G4"/>
    <mergeCell ref="E5:G5"/>
    <mergeCell ref="E6:G6"/>
    <mergeCell ref="E7:G7"/>
    <mergeCell ref="E8:G8"/>
    <mergeCell ref="E9:G9"/>
    <mergeCell ref="E10:G10"/>
  </mergeCells>
  <pageMargins left="0.70866141732283472" right="0.70866141732283472" top="0.74803149606299213" bottom="0.74803149606299213" header="0.31496062992125984" footer="0.31496062992125984"/>
  <pageSetup scale="68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35320337-AA78-4EFE-A659-8269D246DEDC}">
            <x14:iconSet iconSet="3Triangle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E12:H12</xm:sqref>
        </x14:conditionalFormatting>
        <x14:conditionalFormatting xmlns:xm="http://schemas.microsoft.com/office/excel/2006/main">
          <x14:cfRule type="iconSet" priority="1" id="{B747FE24-8810-4A08-B092-FEA96F973B3C}">
            <x14:iconSet iconSet="3Triangles" reverse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E13:H13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7ECD-000C-47F0-BEF5-704AB285D568}">
  <dimension ref="B1:AE52"/>
  <sheetViews>
    <sheetView showGridLines="0" zoomScale="89" zoomScaleNormal="85" workbookViewId="0">
      <selection activeCell="J48" sqref="J48"/>
    </sheetView>
  </sheetViews>
  <sheetFormatPr baseColWidth="10" defaultColWidth="11.44140625" defaultRowHeight="14.4" x14ac:dyDescent="0.3"/>
  <cols>
    <col min="1" max="1" width="4.33203125" customWidth="1"/>
    <col min="2" max="2" width="9.77734375" bestFit="1" customWidth="1"/>
    <col min="3" max="3" width="7.5546875" bestFit="1" customWidth="1"/>
    <col min="4" max="4" width="11" bestFit="1" customWidth="1"/>
    <col min="5" max="5" width="10.33203125" bestFit="1" customWidth="1"/>
    <col min="6" max="6" width="9.6640625" customWidth="1"/>
    <col min="7" max="7" width="15.77734375" customWidth="1"/>
    <col min="8" max="8" width="14.6640625" customWidth="1"/>
    <col min="9" max="10" width="9.5546875" customWidth="1"/>
    <col min="11" max="12" width="15.5546875" customWidth="1"/>
    <col min="13" max="13" width="7" bestFit="1" customWidth="1"/>
    <col min="14" max="14" width="10.77734375" customWidth="1"/>
    <col min="15" max="15" width="7" bestFit="1" customWidth="1"/>
    <col min="16" max="16" width="9" bestFit="1" customWidth="1"/>
    <col min="17" max="17" width="14.5546875" bestFit="1" customWidth="1"/>
    <col min="18" max="18" width="17.33203125" hidden="1" customWidth="1"/>
    <col min="19" max="19" width="1.5546875" customWidth="1"/>
    <col min="20" max="20" width="15.6640625" bestFit="1" customWidth="1"/>
    <col min="21" max="21" width="1.5546875" customWidth="1"/>
    <col min="22" max="22" width="16.5546875" customWidth="1"/>
    <col min="23" max="23" width="1.5546875" customWidth="1"/>
    <col min="25" max="25" width="3.77734375" bestFit="1" customWidth="1"/>
    <col min="26" max="26" width="4.109375" customWidth="1"/>
    <col min="27" max="27" width="11.77734375" hidden="1" customWidth="1"/>
    <col min="28" max="28" width="3.6640625" customWidth="1"/>
    <col min="29" max="29" width="10.33203125" bestFit="1" customWidth="1"/>
    <col min="30" max="30" width="12.77734375" bestFit="1" customWidth="1"/>
    <col min="32" max="32" width="26.6640625" bestFit="1" customWidth="1"/>
  </cols>
  <sheetData>
    <row r="1" spans="2:30" x14ac:dyDescent="0.3">
      <c r="B1" t="s">
        <v>66</v>
      </c>
      <c r="C1">
        <f>39850</f>
        <v>39850</v>
      </c>
    </row>
    <row r="2" spans="2:30" x14ac:dyDescent="0.3">
      <c r="B2" t="s">
        <v>97</v>
      </c>
      <c r="C2" s="20">
        <v>0.18</v>
      </c>
      <c r="H2" s="1" t="s">
        <v>143</v>
      </c>
    </row>
    <row r="3" spans="2:30" x14ac:dyDescent="0.3">
      <c r="B3" t="s">
        <v>75</v>
      </c>
      <c r="C3" s="20">
        <v>0.28000000000000003</v>
      </c>
      <c r="E3" s="19"/>
    </row>
    <row r="4" spans="2:30" x14ac:dyDescent="0.3">
      <c r="J4" s="109"/>
    </row>
    <row r="6" spans="2:30" x14ac:dyDescent="0.3">
      <c r="D6" s="106"/>
      <c r="E6" s="106"/>
      <c r="F6" s="106"/>
      <c r="G6" s="106"/>
      <c r="H6" s="106"/>
      <c r="I6" s="106"/>
      <c r="J6" s="106"/>
      <c r="K6" s="106"/>
      <c r="L6" s="8"/>
      <c r="M6" s="280" t="s">
        <v>5</v>
      </c>
      <c r="N6" s="280"/>
      <c r="O6" s="280" t="s">
        <v>4</v>
      </c>
      <c r="P6" s="280"/>
      <c r="Q6" s="9" t="s">
        <v>3</v>
      </c>
      <c r="R6" s="10" t="s">
        <v>2</v>
      </c>
    </row>
    <row r="7" spans="2:30" ht="45.75" customHeight="1" x14ac:dyDescent="0.3">
      <c r="C7" s="53" t="s">
        <v>1</v>
      </c>
      <c r="D7" s="54" t="s">
        <v>90</v>
      </c>
      <c r="E7" s="54" t="s">
        <v>67</v>
      </c>
      <c r="F7" s="54" t="s">
        <v>68</v>
      </c>
      <c r="G7" s="54" t="s">
        <v>8</v>
      </c>
      <c r="H7" s="250" t="s">
        <v>6</v>
      </c>
      <c r="I7" s="54" t="s">
        <v>11</v>
      </c>
      <c r="J7" s="54" t="s">
        <v>69</v>
      </c>
      <c r="K7" s="54" t="s">
        <v>70</v>
      </c>
      <c r="L7" s="55" t="s">
        <v>7</v>
      </c>
      <c r="M7" s="53" t="s">
        <v>0</v>
      </c>
      <c r="N7" s="55" t="s">
        <v>144</v>
      </c>
      <c r="O7" s="53" t="s">
        <v>0</v>
      </c>
      <c r="P7" s="55" t="s">
        <v>144</v>
      </c>
      <c r="Q7" s="111" t="s">
        <v>153</v>
      </c>
      <c r="R7" s="67"/>
      <c r="S7" s="15"/>
      <c r="T7" s="235" t="s">
        <v>87</v>
      </c>
      <c r="U7" s="15"/>
      <c r="V7" s="110" t="s">
        <v>88</v>
      </c>
      <c r="W7" s="15"/>
      <c r="X7" s="105" t="s">
        <v>89</v>
      </c>
      <c r="Y7" s="237" t="s">
        <v>148</v>
      </c>
      <c r="AA7" t="s">
        <v>76</v>
      </c>
      <c r="AC7" s="111" t="s">
        <v>75</v>
      </c>
      <c r="AD7" s="136" t="s">
        <v>91</v>
      </c>
    </row>
    <row r="8" spans="2:30" x14ac:dyDescent="0.3">
      <c r="B8">
        <f>1</f>
        <v>1</v>
      </c>
      <c r="C8" s="243">
        <v>702</v>
      </c>
      <c r="D8" s="56">
        <f>X8-(X8*$C$3)</f>
        <v>3669.84</v>
      </c>
      <c r="E8" s="116">
        <f>(D8/1.18)*0.18</f>
        <v>559.80610169491536</v>
      </c>
      <c r="F8" s="56">
        <f>E8/0.19</f>
        <v>2946.347903657449</v>
      </c>
      <c r="G8" s="57">
        <f>(D8/(1+$C$2))*$C$1</f>
        <v>123934850.84745765</v>
      </c>
      <c r="H8" s="38">
        <v>67066428</v>
      </c>
      <c r="I8" s="58">
        <f>H8/G8</f>
        <v>0.54114260469435804</v>
      </c>
      <c r="J8" s="56">
        <f>(D8-E8-F8)</f>
        <v>163.68599464763565</v>
      </c>
      <c r="K8" s="38">
        <f>(D8-E8-F8)*$C$1</f>
        <v>6522886.886708281</v>
      </c>
      <c r="L8" s="59">
        <f>E8*$C$1</f>
        <v>22308273.152542379</v>
      </c>
      <c r="M8" s="37">
        <v>495</v>
      </c>
      <c r="N8" s="135">
        <f>+M8-(M8*$C$3)</f>
        <v>356.4</v>
      </c>
      <c r="O8" s="37">
        <v>91</v>
      </c>
      <c r="P8" s="65">
        <f>+O8-(O8*$C$3)</f>
        <v>65.52</v>
      </c>
      <c r="Q8" s="251">
        <f t="shared" ref="Q8:Q22" si="0">(D8+N8+P8)</f>
        <v>4091.76</v>
      </c>
      <c r="R8" s="68"/>
      <c r="T8" s="103">
        <v>4546.4000000000005</v>
      </c>
      <c r="V8" s="103">
        <f t="shared" ref="V8:V22" si="1">+Q8-T8</f>
        <v>-454.64000000000033</v>
      </c>
      <c r="X8" s="103">
        <v>5097</v>
      </c>
      <c r="Y8" s="102">
        <v>3</v>
      </c>
      <c r="AA8" t="s">
        <v>77</v>
      </c>
      <c r="AC8" s="83">
        <f>+X8*$C$3</f>
        <v>1427.16</v>
      </c>
      <c r="AD8" s="137">
        <f t="shared" ref="AD8:AD22" si="2">X8+M8+O8</f>
        <v>5683</v>
      </c>
    </row>
    <row r="9" spans="2:30" x14ac:dyDescent="0.3">
      <c r="B9">
        <f t="shared" ref="B9:B22" si="3">+B8+1</f>
        <v>2</v>
      </c>
      <c r="C9" s="243">
        <v>803</v>
      </c>
      <c r="D9" s="56">
        <f t="shared" ref="D9:D22" si="4">X9-(X9*$C$3)</f>
        <v>3693.6</v>
      </c>
      <c r="E9" s="116">
        <f t="shared" ref="E9:E15" si="5">(D9/1.18)*0.18</f>
        <v>563.4305084745763</v>
      </c>
      <c r="F9" s="56">
        <f t="shared" ref="F9:F22" si="6">E9/0.19</f>
        <v>2965.4237288135596</v>
      </c>
      <c r="G9" s="57">
        <f t="shared" ref="G9:G22" si="7">(D9/(1+$C$2))*$C$1</f>
        <v>124737254.23728815</v>
      </c>
      <c r="H9" s="38">
        <v>66118964</v>
      </c>
      <c r="I9" s="58">
        <f t="shared" ref="I9:I15" si="8">H9/G9</f>
        <v>0.53006589253777903</v>
      </c>
      <c r="J9" s="56">
        <f t="shared" ref="J9:J22" si="9">(D9-E9-F9)</f>
        <v>164.74576271186424</v>
      </c>
      <c r="K9" s="38">
        <f t="shared" ref="K9:K22" si="10">(D9-E9-F9)*$C$1</f>
        <v>6565118.6440677904</v>
      </c>
      <c r="L9" s="59">
        <f>E9*$C$1</f>
        <v>22452705.762711864</v>
      </c>
      <c r="M9" s="37">
        <v>495</v>
      </c>
      <c r="N9" s="135">
        <f t="shared" ref="N9:N22" si="11">+M9-(M9*$C$3)</f>
        <v>356.4</v>
      </c>
      <c r="O9" s="37">
        <v>91</v>
      </c>
      <c r="P9" s="65">
        <f t="shared" ref="P9:P22" si="12">+O9-(O9*$C$3)</f>
        <v>65.52</v>
      </c>
      <c r="Q9" s="251">
        <f t="shared" si="0"/>
        <v>4115.5200000000004</v>
      </c>
      <c r="R9" s="68"/>
      <c r="T9" s="103">
        <v>4572.8</v>
      </c>
      <c r="V9" s="103">
        <f t="shared" si="1"/>
        <v>-457.27999999999975</v>
      </c>
      <c r="X9" s="103">
        <v>5130</v>
      </c>
      <c r="Y9" s="102">
        <v>3</v>
      </c>
      <c r="AA9" t="s">
        <v>78</v>
      </c>
      <c r="AC9" s="83">
        <f t="shared" ref="AC9:AC22" si="13">+X9*$C$3</f>
        <v>1436.4</v>
      </c>
      <c r="AD9" s="137">
        <f t="shared" si="2"/>
        <v>5716</v>
      </c>
    </row>
    <row r="10" spans="2:30" x14ac:dyDescent="0.3">
      <c r="B10">
        <f t="shared" si="3"/>
        <v>3</v>
      </c>
      <c r="C10" s="243">
        <v>903</v>
      </c>
      <c r="D10" s="56">
        <f t="shared" si="4"/>
        <v>3838.3199999999997</v>
      </c>
      <c r="E10" s="116">
        <f t="shared" si="5"/>
        <v>585.506440677966</v>
      </c>
      <c r="F10" s="56">
        <f t="shared" si="6"/>
        <v>3081.612845673505</v>
      </c>
      <c r="G10" s="57">
        <f t="shared" si="7"/>
        <v>129624620.33898304</v>
      </c>
      <c r="H10" s="38">
        <v>66118964</v>
      </c>
      <c r="I10" s="58">
        <f t="shared" si="8"/>
        <v>0.5100802905118752</v>
      </c>
      <c r="J10" s="56">
        <f t="shared" si="9"/>
        <v>171.20071364852856</v>
      </c>
      <c r="K10" s="38">
        <f t="shared" si="10"/>
        <v>6822348.438893863</v>
      </c>
      <c r="L10" s="59">
        <f t="shared" ref="L10:L22" si="14">E10*$C$1</f>
        <v>23332431.661016945</v>
      </c>
      <c r="M10" s="37">
        <v>495</v>
      </c>
      <c r="N10" s="135">
        <f t="shared" si="11"/>
        <v>356.4</v>
      </c>
      <c r="O10" s="37">
        <v>91</v>
      </c>
      <c r="P10" s="65">
        <f t="shared" si="12"/>
        <v>65.52</v>
      </c>
      <c r="Q10" s="251">
        <f t="shared" si="0"/>
        <v>4260.24</v>
      </c>
      <c r="R10" s="68"/>
      <c r="T10" s="103">
        <v>4733.6000000000004</v>
      </c>
      <c r="V10" s="103">
        <f t="shared" si="1"/>
        <v>-473.36000000000058</v>
      </c>
      <c r="X10" s="103">
        <v>5331</v>
      </c>
      <c r="Y10" s="102">
        <v>3</v>
      </c>
      <c r="AA10" t="s">
        <v>79</v>
      </c>
      <c r="AC10" s="83">
        <f t="shared" si="13"/>
        <v>1492.68</v>
      </c>
      <c r="AD10" s="137">
        <f t="shared" si="2"/>
        <v>5917</v>
      </c>
    </row>
    <row r="11" spans="2:30" x14ac:dyDescent="0.3">
      <c r="B11">
        <f t="shared" si="3"/>
        <v>4</v>
      </c>
      <c r="C11" s="243">
        <v>1002</v>
      </c>
      <c r="D11" s="56">
        <f t="shared" si="4"/>
        <v>3755.5199999999995</v>
      </c>
      <c r="E11" s="116">
        <f t="shared" si="5"/>
        <v>572.87593220338977</v>
      </c>
      <c r="F11" s="56">
        <f t="shared" si="6"/>
        <v>3015.1364852809988</v>
      </c>
      <c r="G11" s="57">
        <f t="shared" si="7"/>
        <v>126828366.1016949</v>
      </c>
      <c r="H11" s="38">
        <v>67066428</v>
      </c>
      <c r="I11" s="58">
        <f t="shared" si="8"/>
        <v>0.52879675155811812</v>
      </c>
      <c r="J11" s="56">
        <f t="shared" si="9"/>
        <v>167.50758251561092</v>
      </c>
      <c r="K11" s="38">
        <f t="shared" si="10"/>
        <v>6675177.1632470954</v>
      </c>
      <c r="L11" s="59">
        <f t="shared" si="14"/>
        <v>22829105.898305081</v>
      </c>
      <c r="M11" s="37">
        <v>495</v>
      </c>
      <c r="N11" s="135">
        <f t="shared" si="11"/>
        <v>356.4</v>
      </c>
      <c r="O11" s="37">
        <v>91</v>
      </c>
      <c r="P11" s="65">
        <f t="shared" si="12"/>
        <v>65.52</v>
      </c>
      <c r="Q11" s="251">
        <f t="shared" si="0"/>
        <v>4177.4399999999996</v>
      </c>
      <c r="R11" s="68"/>
      <c r="T11" s="103">
        <v>4641.6000000000004</v>
      </c>
      <c r="V11" s="103">
        <f t="shared" si="1"/>
        <v>-464.16000000000076</v>
      </c>
      <c r="X11" s="103">
        <v>5216</v>
      </c>
      <c r="Y11" s="102">
        <v>3</v>
      </c>
      <c r="AA11" t="s">
        <v>80</v>
      </c>
      <c r="AC11" s="83">
        <f t="shared" si="13"/>
        <v>1460.4800000000002</v>
      </c>
      <c r="AD11" s="137">
        <f t="shared" si="2"/>
        <v>5802</v>
      </c>
    </row>
    <row r="12" spans="2:30" x14ac:dyDescent="0.3">
      <c r="B12">
        <f t="shared" si="3"/>
        <v>5</v>
      </c>
      <c r="C12" s="243">
        <v>1003</v>
      </c>
      <c r="D12" s="56">
        <f t="shared" si="4"/>
        <v>3751.92</v>
      </c>
      <c r="E12" s="116">
        <f t="shared" si="5"/>
        <v>572.32677966101699</v>
      </c>
      <c r="F12" s="56">
        <f t="shared" si="6"/>
        <v>3012.2462087421945</v>
      </c>
      <c r="G12" s="57">
        <f t="shared" si="7"/>
        <v>126706789.83050849</v>
      </c>
      <c r="H12" s="38">
        <v>66118964</v>
      </c>
      <c r="I12" s="58">
        <f t="shared" si="8"/>
        <v>0.52182652633252857</v>
      </c>
      <c r="J12" s="56">
        <f t="shared" si="9"/>
        <v>167.34701159678843</v>
      </c>
      <c r="K12" s="38">
        <f t="shared" si="10"/>
        <v>6668778.4121320192</v>
      </c>
      <c r="L12" s="59">
        <f t="shared" si="14"/>
        <v>22807222.169491526</v>
      </c>
      <c r="M12" s="37">
        <v>495</v>
      </c>
      <c r="N12" s="135">
        <f t="shared" si="11"/>
        <v>356.4</v>
      </c>
      <c r="O12" s="37">
        <v>91</v>
      </c>
      <c r="P12" s="65">
        <f t="shared" si="12"/>
        <v>65.52</v>
      </c>
      <c r="Q12" s="251">
        <f t="shared" si="0"/>
        <v>4173.84</v>
      </c>
      <c r="R12" s="68"/>
      <c r="T12" s="103">
        <v>4637.6000000000004</v>
      </c>
      <c r="V12" s="103">
        <f t="shared" si="1"/>
        <v>-463.76000000000022</v>
      </c>
      <c r="X12" s="103">
        <v>5211</v>
      </c>
      <c r="Y12" s="102">
        <v>3</v>
      </c>
      <c r="AA12" t="s">
        <v>81</v>
      </c>
      <c r="AC12" s="83">
        <f t="shared" si="13"/>
        <v>1459.0800000000002</v>
      </c>
      <c r="AD12" s="137">
        <f t="shared" si="2"/>
        <v>5797</v>
      </c>
    </row>
    <row r="13" spans="2:30" x14ac:dyDescent="0.3">
      <c r="B13">
        <f t="shared" si="3"/>
        <v>6</v>
      </c>
      <c r="C13" s="243">
        <v>1301</v>
      </c>
      <c r="D13" s="56">
        <f t="shared" si="4"/>
        <v>3099.6</v>
      </c>
      <c r="E13" s="116">
        <f t="shared" si="5"/>
        <v>472.82033898305087</v>
      </c>
      <c r="F13" s="56">
        <f t="shared" si="6"/>
        <v>2488.528099910794</v>
      </c>
      <c r="G13" s="57">
        <f t="shared" si="7"/>
        <v>104677169.49152543</v>
      </c>
      <c r="H13" s="38">
        <v>42776326</v>
      </c>
      <c r="I13" s="58">
        <f t="shared" si="8"/>
        <v>0.40865000656578832</v>
      </c>
      <c r="J13" s="56">
        <f t="shared" si="9"/>
        <v>138.2515611061549</v>
      </c>
      <c r="K13" s="38">
        <f t="shared" si="10"/>
        <v>5509324.7100802725</v>
      </c>
      <c r="L13" s="59">
        <f t="shared" si="14"/>
        <v>18841890.508474577</v>
      </c>
      <c r="M13" s="37">
        <v>495</v>
      </c>
      <c r="N13" s="135">
        <f t="shared" si="11"/>
        <v>356.4</v>
      </c>
      <c r="O13" s="37">
        <v>91</v>
      </c>
      <c r="P13" s="65">
        <f t="shared" si="12"/>
        <v>65.52</v>
      </c>
      <c r="Q13" s="251">
        <f t="shared" si="0"/>
        <v>3521.52</v>
      </c>
      <c r="R13" s="68"/>
      <c r="T13" s="103">
        <v>3912.8</v>
      </c>
      <c r="V13" s="103">
        <f t="shared" si="1"/>
        <v>-391.2800000000002</v>
      </c>
      <c r="X13" s="103">
        <v>4305</v>
      </c>
      <c r="Y13" s="102">
        <v>2</v>
      </c>
      <c r="AA13" t="s">
        <v>82</v>
      </c>
      <c r="AC13" s="83">
        <f t="shared" si="13"/>
        <v>1205.4000000000001</v>
      </c>
      <c r="AD13" s="137">
        <f t="shared" si="2"/>
        <v>4891</v>
      </c>
    </row>
    <row r="14" spans="2:30" x14ac:dyDescent="0.3">
      <c r="B14">
        <f t="shared" si="3"/>
        <v>7</v>
      </c>
      <c r="C14" s="243">
        <v>1302</v>
      </c>
      <c r="D14" s="56">
        <f t="shared" si="4"/>
        <v>3803.04</v>
      </c>
      <c r="E14" s="116">
        <f t="shared" si="5"/>
        <v>580.12474576271188</v>
      </c>
      <c r="F14" s="56">
        <f t="shared" si="6"/>
        <v>3053.2881355932204</v>
      </c>
      <c r="G14" s="57">
        <f t="shared" si="7"/>
        <v>128433172.88135593</v>
      </c>
      <c r="H14" s="38">
        <v>67066428</v>
      </c>
      <c r="I14" s="58">
        <f t="shared" si="8"/>
        <v>0.52218929498809985</v>
      </c>
      <c r="J14" s="56">
        <f t="shared" si="9"/>
        <v>169.62711864406765</v>
      </c>
      <c r="K14" s="38">
        <f t="shared" si="10"/>
        <v>6759640.6779660955</v>
      </c>
      <c r="L14" s="59">
        <f t="shared" si="14"/>
        <v>23117971.11864407</v>
      </c>
      <c r="M14" s="37">
        <v>495</v>
      </c>
      <c r="N14" s="135">
        <f t="shared" si="11"/>
        <v>356.4</v>
      </c>
      <c r="O14" s="37">
        <v>91</v>
      </c>
      <c r="P14" s="65">
        <f t="shared" si="12"/>
        <v>65.52</v>
      </c>
      <c r="Q14" s="251">
        <f t="shared" si="0"/>
        <v>4224.96</v>
      </c>
      <c r="R14" s="68"/>
      <c r="T14" s="103">
        <v>4694.4000000000005</v>
      </c>
      <c r="V14" s="103">
        <f t="shared" si="1"/>
        <v>-469.44000000000051</v>
      </c>
      <c r="X14" s="103">
        <v>5282</v>
      </c>
      <c r="Y14" s="102">
        <v>3</v>
      </c>
      <c r="AA14" t="s">
        <v>83</v>
      </c>
      <c r="AC14" s="83">
        <f t="shared" si="13"/>
        <v>1478.96</v>
      </c>
      <c r="AD14" s="137">
        <f t="shared" si="2"/>
        <v>5868</v>
      </c>
    </row>
    <row r="15" spans="2:30" x14ac:dyDescent="0.3">
      <c r="B15">
        <f t="shared" si="3"/>
        <v>8</v>
      </c>
      <c r="C15" s="243">
        <v>1303</v>
      </c>
      <c r="D15" s="56">
        <f t="shared" si="4"/>
        <v>3728.88</v>
      </c>
      <c r="E15" s="116">
        <f t="shared" si="5"/>
        <v>568.81220338983053</v>
      </c>
      <c r="F15" s="56">
        <f t="shared" si="6"/>
        <v>2993.7484388938447</v>
      </c>
      <c r="G15" s="57">
        <f t="shared" si="7"/>
        <v>125928701.69491526</v>
      </c>
      <c r="H15" s="38">
        <v>66118964</v>
      </c>
      <c r="I15" s="58">
        <f t="shared" si="8"/>
        <v>0.52505078754948953</v>
      </c>
      <c r="J15" s="56">
        <f t="shared" si="9"/>
        <v>166.3193577163247</v>
      </c>
      <c r="K15" s="38">
        <f t="shared" si="10"/>
        <v>6627826.4049955392</v>
      </c>
      <c r="L15" s="59">
        <f t="shared" si="14"/>
        <v>22667166.305084746</v>
      </c>
      <c r="M15" s="37">
        <v>495</v>
      </c>
      <c r="N15" s="135">
        <f t="shared" si="11"/>
        <v>356.4</v>
      </c>
      <c r="O15" s="37">
        <v>91</v>
      </c>
      <c r="P15" s="65">
        <f t="shared" si="12"/>
        <v>65.52</v>
      </c>
      <c r="Q15" s="251">
        <f t="shared" si="0"/>
        <v>4150.8</v>
      </c>
      <c r="R15" s="68"/>
      <c r="T15" s="103">
        <v>4612</v>
      </c>
      <c r="V15" s="103">
        <f t="shared" si="1"/>
        <v>-461.19999999999982</v>
      </c>
      <c r="X15" s="103">
        <v>5179</v>
      </c>
      <c r="Y15" s="102">
        <v>3</v>
      </c>
      <c r="AA15" t="s">
        <v>84</v>
      </c>
      <c r="AC15" s="83">
        <f t="shared" si="13"/>
        <v>1450.1200000000001</v>
      </c>
      <c r="AD15" s="137">
        <f t="shared" si="2"/>
        <v>5765</v>
      </c>
    </row>
    <row r="16" spans="2:30" x14ac:dyDescent="0.3">
      <c r="B16">
        <f t="shared" si="3"/>
        <v>9</v>
      </c>
      <c r="C16" s="243">
        <v>1304</v>
      </c>
      <c r="D16" s="56">
        <f t="shared" si="4"/>
        <v>3121.92</v>
      </c>
      <c r="E16" s="116">
        <f>(D16/1.18)*0.18</f>
        <v>476.22508474576273</v>
      </c>
      <c r="F16" s="56">
        <f t="shared" si="6"/>
        <v>2506.4478144513828</v>
      </c>
      <c r="G16" s="57">
        <f t="shared" si="7"/>
        <v>105430942.37288137</v>
      </c>
      <c r="H16" s="38">
        <v>49427883</v>
      </c>
      <c r="I16" s="58">
        <f>H16/G16</f>
        <v>0.46881761546991246</v>
      </c>
      <c r="J16" s="56">
        <f t="shared" si="9"/>
        <v>139.24710080285467</v>
      </c>
      <c r="K16" s="38">
        <f t="shared" si="10"/>
        <v>5548996.9669937585</v>
      </c>
      <c r="L16" s="59">
        <f t="shared" si="14"/>
        <v>18977569.627118643</v>
      </c>
      <c r="M16" s="37">
        <v>495</v>
      </c>
      <c r="N16" s="135">
        <f t="shared" si="11"/>
        <v>356.4</v>
      </c>
      <c r="O16" s="37">
        <v>91</v>
      </c>
      <c r="P16" s="65">
        <f t="shared" si="12"/>
        <v>65.52</v>
      </c>
      <c r="Q16" s="251">
        <f t="shared" si="0"/>
        <v>3543.84</v>
      </c>
      <c r="R16" s="68"/>
      <c r="T16" s="103">
        <v>3937.6000000000004</v>
      </c>
      <c r="V16" s="103">
        <f t="shared" si="1"/>
        <v>-393.76000000000022</v>
      </c>
      <c r="X16" s="103">
        <v>4336</v>
      </c>
      <c r="Y16" s="102">
        <v>2</v>
      </c>
      <c r="AA16" t="s">
        <v>85</v>
      </c>
      <c r="AC16" s="83">
        <f t="shared" si="13"/>
        <v>1214.0800000000002</v>
      </c>
      <c r="AD16" s="137">
        <f t="shared" si="2"/>
        <v>4922</v>
      </c>
    </row>
    <row r="17" spans="2:31" x14ac:dyDescent="0.3">
      <c r="B17">
        <f t="shared" si="3"/>
        <v>10</v>
      </c>
      <c r="C17" s="255">
        <v>1309</v>
      </c>
      <c r="D17" s="56">
        <f t="shared" si="4"/>
        <v>3155.04</v>
      </c>
      <c r="E17" s="116">
        <f t="shared" ref="E17:E22" si="15">(D17/1.18)*0.18</f>
        <v>481.27728813559321</v>
      </c>
      <c r="F17" s="56">
        <f t="shared" si="6"/>
        <v>2533.0383586083854</v>
      </c>
      <c r="G17" s="57">
        <f t="shared" si="7"/>
        <v>106549444.06779662</v>
      </c>
      <c r="H17" s="38">
        <v>45765170</v>
      </c>
      <c r="I17" s="58">
        <f t="shared" ref="I17:I22" si="16">H17/G17</f>
        <v>0.42952049539441955</v>
      </c>
      <c r="J17" s="56">
        <f t="shared" si="9"/>
        <v>140.72435325602146</v>
      </c>
      <c r="K17" s="38">
        <f t="shared" si="10"/>
        <v>5607865.4772524554</v>
      </c>
      <c r="L17" s="59">
        <f t="shared" si="14"/>
        <v>19178899.93220339</v>
      </c>
      <c r="M17" s="231">
        <v>495</v>
      </c>
      <c r="N17" s="135">
        <f t="shared" si="11"/>
        <v>356.4</v>
      </c>
      <c r="O17" s="37">
        <v>91</v>
      </c>
      <c r="P17" s="65">
        <f t="shared" si="12"/>
        <v>65.52</v>
      </c>
      <c r="Q17" s="251">
        <f t="shared" si="0"/>
        <v>3576.96</v>
      </c>
      <c r="R17" s="232"/>
      <c r="T17" s="103">
        <v>3974.4</v>
      </c>
      <c r="V17" s="103">
        <f t="shared" si="1"/>
        <v>-397.44000000000005</v>
      </c>
      <c r="X17" s="233">
        <v>4382</v>
      </c>
      <c r="Y17" s="102">
        <v>2</v>
      </c>
      <c r="AC17" s="83">
        <f t="shared" si="13"/>
        <v>1226.96</v>
      </c>
      <c r="AD17" s="137">
        <f t="shared" si="2"/>
        <v>4968</v>
      </c>
    </row>
    <row r="18" spans="2:31" x14ac:dyDescent="0.3">
      <c r="B18">
        <f t="shared" si="3"/>
        <v>11</v>
      </c>
      <c r="C18" s="255">
        <v>1007</v>
      </c>
      <c r="D18" s="56">
        <f t="shared" si="4"/>
        <v>3864.96</v>
      </c>
      <c r="E18" s="116">
        <f t="shared" si="15"/>
        <v>589.57016949152546</v>
      </c>
      <c r="F18" s="56">
        <f t="shared" si="6"/>
        <v>3103.0008920606601</v>
      </c>
      <c r="G18" s="57">
        <f t="shared" si="7"/>
        <v>130524284.74576272</v>
      </c>
      <c r="H18" s="38">
        <v>67066428</v>
      </c>
      <c r="I18" s="58">
        <f t="shared" si="16"/>
        <v>0.51382337111161391</v>
      </c>
      <c r="J18" s="56">
        <f t="shared" si="9"/>
        <v>172.38893844781433</v>
      </c>
      <c r="K18" s="38">
        <f t="shared" si="10"/>
        <v>6869699.1971454006</v>
      </c>
      <c r="L18" s="59">
        <f t="shared" si="14"/>
        <v>23494371.25423729</v>
      </c>
      <c r="M18" s="231">
        <v>495</v>
      </c>
      <c r="N18" s="135">
        <f t="shared" si="11"/>
        <v>356.4</v>
      </c>
      <c r="O18" s="37">
        <v>91</v>
      </c>
      <c r="P18" s="65">
        <f t="shared" si="12"/>
        <v>65.52</v>
      </c>
      <c r="Q18" s="251">
        <f t="shared" si="0"/>
        <v>4286.88</v>
      </c>
      <c r="R18" s="232"/>
      <c r="T18" s="103">
        <v>4763.2</v>
      </c>
      <c r="V18" s="103">
        <f t="shared" si="1"/>
        <v>-476.31999999999971</v>
      </c>
      <c r="X18" s="233">
        <v>5368</v>
      </c>
      <c r="Y18" s="102">
        <v>3</v>
      </c>
      <c r="AC18" s="83">
        <f t="shared" si="13"/>
        <v>1503.0400000000002</v>
      </c>
      <c r="AD18" s="137">
        <f t="shared" si="2"/>
        <v>5954</v>
      </c>
    </row>
    <row r="19" spans="2:31" x14ac:dyDescent="0.3">
      <c r="B19">
        <f t="shared" si="3"/>
        <v>12</v>
      </c>
      <c r="C19" s="255">
        <v>1104</v>
      </c>
      <c r="D19" s="56">
        <f t="shared" si="4"/>
        <v>3177.3599999999997</v>
      </c>
      <c r="E19" s="116">
        <f t="shared" si="15"/>
        <v>484.68203389830506</v>
      </c>
      <c r="F19" s="56">
        <f t="shared" si="6"/>
        <v>2550.9580731489741</v>
      </c>
      <c r="G19" s="57">
        <f t="shared" si="7"/>
        <v>107303216.94915254</v>
      </c>
      <c r="H19" s="38">
        <v>49427883</v>
      </c>
      <c r="I19" s="58">
        <f t="shared" si="16"/>
        <v>0.46063747579368702</v>
      </c>
      <c r="J19" s="56">
        <f t="shared" si="9"/>
        <v>141.71989295272033</v>
      </c>
      <c r="K19" s="38">
        <f t="shared" si="10"/>
        <v>5647537.734165905</v>
      </c>
      <c r="L19" s="59">
        <f t="shared" si="14"/>
        <v>19314579.050847456</v>
      </c>
      <c r="M19" s="231">
        <v>495</v>
      </c>
      <c r="N19" s="135">
        <f t="shared" si="11"/>
        <v>356.4</v>
      </c>
      <c r="O19" s="37">
        <v>91</v>
      </c>
      <c r="P19" s="65">
        <f t="shared" si="12"/>
        <v>65.52</v>
      </c>
      <c r="Q19" s="251">
        <f t="shared" si="0"/>
        <v>3599.2799999999997</v>
      </c>
      <c r="R19" s="232"/>
      <c r="T19" s="103">
        <v>3999.2000000000003</v>
      </c>
      <c r="V19" s="103">
        <f t="shared" si="1"/>
        <v>-399.92000000000053</v>
      </c>
      <c r="X19" s="233">
        <v>4413</v>
      </c>
      <c r="Y19" s="102">
        <v>2</v>
      </c>
      <c r="AC19" s="83">
        <f t="shared" si="13"/>
        <v>1235.6400000000001</v>
      </c>
      <c r="AD19" s="137">
        <f t="shared" si="2"/>
        <v>4999</v>
      </c>
    </row>
    <row r="20" spans="2:31" x14ac:dyDescent="0.3">
      <c r="B20">
        <f t="shared" si="3"/>
        <v>13</v>
      </c>
      <c r="C20" s="255">
        <v>1107</v>
      </c>
      <c r="D20" s="56">
        <f t="shared" si="4"/>
        <v>3782.16</v>
      </c>
      <c r="E20" s="116">
        <f t="shared" si="15"/>
        <v>576.93966101694912</v>
      </c>
      <c r="F20" s="56">
        <f t="shared" si="6"/>
        <v>3036.524531668153</v>
      </c>
      <c r="G20" s="57">
        <f t="shared" si="7"/>
        <v>127728030.50847459</v>
      </c>
      <c r="H20" s="38">
        <v>67066428</v>
      </c>
      <c r="I20" s="58">
        <f t="shared" si="16"/>
        <v>0.52507212185934571</v>
      </c>
      <c r="J20" s="56">
        <f t="shared" si="9"/>
        <v>168.69580731489759</v>
      </c>
      <c r="K20" s="38">
        <f t="shared" si="10"/>
        <v>6722527.9214986693</v>
      </c>
      <c r="L20" s="59">
        <f t="shared" si="14"/>
        <v>22991045.491525423</v>
      </c>
      <c r="M20" s="231">
        <v>495</v>
      </c>
      <c r="N20" s="135">
        <f t="shared" si="11"/>
        <v>356.4</v>
      </c>
      <c r="O20" s="37">
        <v>91</v>
      </c>
      <c r="P20" s="65">
        <f t="shared" si="12"/>
        <v>65.52</v>
      </c>
      <c r="Q20" s="251">
        <f t="shared" si="0"/>
        <v>4204.08</v>
      </c>
      <c r="R20" s="232"/>
      <c r="T20" s="103">
        <v>4671.2</v>
      </c>
      <c r="V20" s="103">
        <f t="shared" si="1"/>
        <v>-467.11999999999989</v>
      </c>
      <c r="X20" s="233">
        <v>5253</v>
      </c>
      <c r="Y20" s="102">
        <v>3</v>
      </c>
      <c r="AC20" s="83">
        <f t="shared" si="13"/>
        <v>1470.8400000000001</v>
      </c>
      <c r="AD20" s="137">
        <f t="shared" si="2"/>
        <v>5839</v>
      </c>
    </row>
    <row r="21" spans="2:31" x14ac:dyDescent="0.3">
      <c r="B21">
        <f t="shared" si="3"/>
        <v>14</v>
      </c>
      <c r="C21" s="255">
        <v>1204</v>
      </c>
      <c r="D21" s="56">
        <f t="shared" si="4"/>
        <v>3248.64</v>
      </c>
      <c r="E21" s="116">
        <f t="shared" si="15"/>
        <v>495.55525423728812</v>
      </c>
      <c r="F21" s="56">
        <f t="shared" si="6"/>
        <v>2608.1855486173058</v>
      </c>
      <c r="G21" s="57">
        <f t="shared" si="7"/>
        <v>109710427.11864407</v>
      </c>
      <c r="H21" s="38">
        <v>49427883</v>
      </c>
      <c r="I21" s="58">
        <f t="shared" si="16"/>
        <v>0.45053040351895846</v>
      </c>
      <c r="J21" s="56">
        <f t="shared" si="9"/>
        <v>144.89919714540611</v>
      </c>
      <c r="K21" s="38">
        <f t="shared" si="10"/>
        <v>5774233.0062444331</v>
      </c>
      <c r="L21" s="59">
        <f t="shared" si="14"/>
        <v>19747876.88135593</v>
      </c>
      <c r="M21" s="231">
        <v>495</v>
      </c>
      <c r="N21" s="135">
        <f t="shared" si="11"/>
        <v>356.4</v>
      </c>
      <c r="O21" s="37">
        <v>91</v>
      </c>
      <c r="P21" s="65">
        <f t="shared" si="12"/>
        <v>65.52</v>
      </c>
      <c r="Q21" s="251">
        <f t="shared" si="0"/>
        <v>3670.56</v>
      </c>
      <c r="R21" s="232"/>
      <c r="T21" s="103">
        <v>4078.4</v>
      </c>
      <c r="V21" s="103">
        <f t="shared" si="1"/>
        <v>-407.84000000000015</v>
      </c>
      <c r="X21" s="233">
        <v>4512</v>
      </c>
      <c r="Y21" s="102">
        <v>2</v>
      </c>
      <c r="AC21" s="83">
        <f t="shared" si="13"/>
        <v>1263.3600000000001</v>
      </c>
      <c r="AD21" s="137">
        <f t="shared" si="2"/>
        <v>5098</v>
      </c>
    </row>
    <row r="22" spans="2:31" x14ac:dyDescent="0.3">
      <c r="B22">
        <f t="shared" si="3"/>
        <v>15</v>
      </c>
      <c r="C22" s="246">
        <v>1207</v>
      </c>
      <c r="D22" s="60">
        <f t="shared" si="4"/>
        <v>3785.7599999999998</v>
      </c>
      <c r="E22" s="60">
        <f t="shared" si="15"/>
        <v>577.48881355932201</v>
      </c>
      <c r="F22" s="60">
        <f t="shared" si="6"/>
        <v>3039.4148082069578</v>
      </c>
      <c r="G22" s="61">
        <f t="shared" si="7"/>
        <v>127849606.77966101</v>
      </c>
      <c r="H22" s="47">
        <v>67066428</v>
      </c>
      <c r="I22" s="62">
        <f t="shared" si="16"/>
        <v>0.5245728140218987</v>
      </c>
      <c r="J22" s="60">
        <f t="shared" si="9"/>
        <v>168.85637823372008</v>
      </c>
      <c r="K22" s="47">
        <f t="shared" si="10"/>
        <v>6728926.6726137456</v>
      </c>
      <c r="L22" s="63">
        <f t="shared" si="14"/>
        <v>23012929.220338982</v>
      </c>
      <c r="M22" s="64">
        <v>495</v>
      </c>
      <c r="N22" s="135">
        <f t="shared" si="11"/>
        <v>356.4</v>
      </c>
      <c r="O22" s="64">
        <v>91</v>
      </c>
      <c r="P22" s="66">
        <f t="shared" si="12"/>
        <v>65.52</v>
      </c>
      <c r="Q22" s="252">
        <f t="shared" si="0"/>
        <v>4207.68</v>
      </c>
      <c r="R22" s="34"/>
      <c r="T22" s="234">
        <v>4675.2</v>
      </c>
      <c r="V22" s="234">
        <f t="shared" si="1"/>
        <v>-467.51999999999953</v>
      </c>
      <c r="X22" s="104">
        <v>5258</v>
      </c>
      <c r="Y22" s="102">
        <v>3</v>
      </c>
      <c r="AA22" t="s">
        <v>86</v>
      </c>
      <c r="AC22" s="138">
        <f t="shared" si="13"/>
        <v>1472.2400000000002</v>
      </c>
      <c r="AD22" s="139">
        <f t="shared" si="2"/>
        <v>5844</v>
      </c>
    </row>
    <row r="23" spans="2:31" x14ac:dyDescent="0.3">
      <c r="D23" s="7">
        <f>SUM(D8:D22)</f>
        <v>53476.560000000005</v>
      </c>
      <c r="E23" s="7">
        <f>(D23/1.18)*0.18</f>
        <v>8157.4413559322047</v>
      </c>
      <c r="F23" s="7">
        <f>SUM(F8:F22)</f>
        <v>42933.901873327392</v>
      </c>
      <c r="G23" s="7">
        <f>SUM(G8:G22)</f>
        <v>1805966877.9661016</v>
      </c>
      <c r="H23" s="7">
        <f>SUM(H8:H22)</f>
        <v>903699569</v>
      </c>
      <c r="J23" s="6"/>
      <c r="L23" s="7">
        <f t="shared" ref="L23:Q23" si="17">SUM(L8:L22)</f>
        <v>325074038.03389829</v>
      </c>
      <c r="M23" s="7">
        <f t="shared" si="17"/>
        <v>7425</v>
      </c>
      <c r="N23" s="7">
        <f t="shared" si="17"/>
        <v>5345.9999999999991</v>
      </c>
      <c r="O23" s="7">
        <f t="shared" si="17"/>
        <v>1365</v>
      </c>
      <c r="P23" s="7">
        <f t="shared" si="17"/>
        <v>982.79999999999984</v>
      </c>
      <c r="Q23" s="7">
        <f t="shared" si="17"/>
        <v>59805.359999999993</v>
      </c>
      <c r="T23" s="7">
        <f>SUM(T8:T22)</f>
        <v>66450.399999999994</v>
      </c>
      <c r="V23" s="7">
        <f>+Q23-T23</f>
        <v>-6645.0400000000009</v>
      </c>
      <c r="X23" s="7">
        <f>SUM(X8:X22)</f>
        <v>74273</v>
      </c>
      <c r="AC23" s="7">
        <f>SUM(AC8:AC22)</f>
        <v>20796.440000000002</v>
      </c>
      <c r="AD23" s="7">
        <f>SUM(AD8:AD22)</f>
        <v>83063</v>
      </c>
    </row>
    <row r="24" spans="2:31" x14ac:dyDescent="0.3">
      <c r="D24" s="2"/>
      <c r="E24" s="2"/>
      <c r="F24" s="2"/>
      <c r="H24" s="12"/>
      <c r="L24" s="4">
        <f>L23/C1</f>
        <v>8157.4413559322029</v>
      </c>
      <c r="N24" s="2">
        <f>+M23-N23</f>
        <v>2079.0000000000009</v>
      </c>
      <c r="P24" s="2">
        <f>+O23-P23</f>
        <v>382.20000000000016</v>
      </c>
      <c r="Q24" s="2"/>
    </row>
    <row r="25" spans="2:31" x14ac:dyDescent="0.3">
      <c r="E25" s="19"/>
      <c r="N25" s="100"/>
      <c r="P25" s="2"/>
      <c r="Q25" s="2"/>
      <c r="AD25" s="2"/>
      <c r="AE25" s="2"/>
    </row>
    <row r="26" spans="2:31" x14ac:dyDescent="0.3">
      <c r="E26" s="19"/>
      <c r="F26" s="19"/>
      <c r="G26" s="12"/>
      <c r="AD26" s="2"/>
    </row>
    <row r="27" spans="2:31" x14ac:dyDescent="0.3">
      <c r="F27" s="19"/>
      <c r="G27" s="12"/>
      <c r="Q27" s="2"/>
      <c r="T27" s="2"/>
      <c r="V27" s="2"/>
      <c r="X27" s="2"/>
    </row>
    <row r="28" spans="2:31" x14ac:dyDescent="0.3">
      <c r="T28" s="2"/>
    </row>
    <row r="29" spans="2:31" x14ac:dyDescent="0.3">
      <c r="F29" s="107"/>
      <c r="T29" s="2"/>
    </row>
    <row r="30" spans="2:31" x14ac:dyDescent="0.3">
      <c r="F30" s="107"/>
    </row>
    <row r="31" spans="2:31" ht="38.4" customHeight="1" x14ac:dyDescent="0.3">
      <c r="C31" s="53" t="s">
        <v>1</v>
      </c>
      <c r="D31" s="105" t="s">
        <v>89</v>
      </c>
      <c r="E31" s="53" t="s">
        <v>128</v>
      </c>
      <c r="F31" s="161" t="s">
        <v>129</v>
      </c>
      <c r="H31" s="105" t="s">
        <v>149</v>
      </c>
      <c r="I31" s="53" t="s">
        <v>144</v>
      </c>
      <c r="J31" s="161" t="s">
        <v>144</v>
      </c>
    </row>
    <row r="32" spans="2:31" x14ac:dyDescent="0.3">
      <c r="C32" s="45">
        <v>702</v>
      </c>
      <c r="D32" s="103">
        <v>5097</v>
      </c>
      <c r="E32" s="37">
        <v>495</v>
      </c>
      <c r="F32" s="162">
        <v>91</v>
      </c>
      <c r="G32" s="101"/>
      <c r="H32" s="103">
        <v>3669.84</v>
      </c>
      <c r="I32" s="238">
        <v>356.4</v>
      </c>
      <c r="J32" s="240">
        <v>65.52</v>
      </c>
      <c r="T32" s="2"/>
    </row>
    <row r="33" spans="3:20" x14ac:dyDescent="0.3">
      <c r="C33" s="45">
        <v>803</v>
      </c>
      <c r="D33" s="103">
        <v>5130</v>
      </c>
      <c r="E33" s="37">
        <v>495</v>
      </c>
      <c r="F33" s="162">
        <v>91</v>
      </c>
      <c r="G33" s="101"/>
      <c r="H33" s="103">
        <v>3693.6</v>
      </c>
      <c r="I33" s="238">
        <v>356.4</v>
      </c>
      <c r="J33" s="240">
        <v>65.52</v>
      </c>
      <c r="T33" s="2"/>
    </row>
    <row r="34" spans="3:20" x14ac:dyDescent="0.3">
      <c r="C34" s="45">
        <v>903</v>
      </c>
      <c r="D34" s="103">
        <v>5331</v>
      </c>
      <c r="E34" s="37">
        <v>495</v>
      </c>
      <c r="F34" s="162">
        <v>91</v>
      </c>
      <c r="G34" s="101"/>
      <c r="H34" s="103">
        <v>3838.3199999999997</v>
      </c>
      <c r="I34" s="238">
        <v>356.4</v>
      </c>
      <c r="J34" s="240">
        <v>65.52</v>
      </c>
    </row>
    <row r="35" spans="3:20" x14ac:dyDescent="0.3">
      <c r="C35" s="45">
        <v>1002</v>
      </c>
      <c r="D35" s="103">
        <v>5216</v>
      </c>
      <c r="E35" s="37">
        <v>495</v>
      </c>
      <c r="F35" s="162">
        <v>91</v>
      </c>
      <c r="G35" s="108"/>
      <c r="H35" s="103">
        <v>3755.5199999999995</v>
      </c>
      <c r="I35" s="238">
        <v>356.4</v>
      </c>
      <c r="J35" s="240">
        <v>65.52</v>
      </c>
    </row>
    <row r="36" spans="3:20" x14ac:dyDescent="0.3">
      <c r="C36" s="45">
        <v>1003</v>
      </c>
      <c r="D36" s="103">
        <v>5211</v>
      </c>
      <c r="E36" s="37">
        <v>495</v>
      </c>
      <c r="F36" s="162">
        <v>91</v>
      </c>
      <c r="G36" s="108"/>
      <c r="H36" s="103">
        <v>3751.92</v>
      </c>
      <c r="I36" s="238">
        <v>356.4</v>
      </c>
      <c r="J36" s="240">
        <v>65.52</v>
      </c>
    </row>
    <row r="37" spans="3:20" x14ac:dyDescent="0.3">
      <c r="C37" s="45">
        <v>1301</v>
      </c>
      <c r="D37" s="103">
        <v>4305</v>
      </c>
      <c r="E37" s="37">
        <v>495</v>
      </c>
      <c r="F37" s="162">
        <v>91</v>
      </c>
      <c r="G37" s="101"/>
      <c r="H37" s="103">
        <v>3099.6</v>
      </c>
      <c r="I37" s="238">
        <v>356.4</v>
      </c>
      <c r="J37" s="240">
        <v>65.52</v>
      </c>
    </row>
    <row r="38" spans="3:20" x14ac:dyDescent="0.3">
      <c r="C38" s="45">
        <v>1302</v>
      </c>
      <c r="D38" s="103">
        <v>5282</v>
      </c>
      <c r="E38" s="37">
        <v>495</v>
      </c>
      <c r="F38" s="162">
        <v>91</v>
      </c>
      <c r="G38" s="101"/>
      <c r="H38" s="103">
        <v>3803.04</v>
      </c>
      <c r="I38" s="238">
        <v>356.4</v>
      </c>
      <c r="J38" s="240">
        <v>65.52</v>
      </c>
    </row>
    <row r="39" spans="3:20" x14ac:dyDescent="0.3">
      <c r="C39" s="45">
        <v>1303</v>
      </c>
      <c r="D39" s="103">
        <v>5179</v>
      </c>
      <c r="E39" s="37">
        <v>495</v>
      </c>
      <c r="F39" s="162">
        <v>91</v>
      </c>
      <c r="G39" s="108"/>
      <c r="H39" s="103">
        <v>3728.88</v>
      </c>
      <c r="I39" s="238">
        <v>356.4</v>
      </c>
      <c r="J39" s="240">
        <v>65.52</v>
      </c>
    </row>
    <row r="40" spans="3:20" x14ac:dyDescent="0.3">
      <c r="C40" s="45">
        <v>1304</v>
      </c>
      <c r="D40" s="103">
        <v>4336</v>
      </c>
      <c r="E40" s="37">
        <v>495</v>
      </c>
      <c r="F40" s="162">
        <v>91</v>
      </c>
      <c r="H40" s="103">
        <v>3121.92</v>
      </c>
      <c r="I40" s="238">
        <v>356.4</v>
      </c>
      <c r="J40" s="240">
        <v>65.52</v>
      </c>
    </row>
    <row r="41" spans="3:20" x14ac:dyDescent="0.3">
      <c r="C41" s="45">
        <v>1309</v>
      </c>
      <c r="D41" s="103">
        <v>4382</v>
      </c>
      <c r="E41" s="37">
        <v>495</v>
      </c>
      <c r="F41" s="162">
        <v>91</v>
      </c>
      <c r="H41" s="103">
        <v>3155.04</v>
      </c>
      <c r="I41" s="238">
        <v>356.4</v>
      </c>
      <c r="J41" s="240">
        <v>65.52</v>
      </c>
    </row>
    <row r="42" spans="3:20" x14ac:dyDescent="0.3">
      <c r="C42" s="45">
        <v>1007</v>
      </c>
      <c r="D42" s="103">
        <v>5368</v>
      </c>
      <c r="E42" s="37">
        <v>495</v>
      </c>
      <c r="F42" s="162">
        <v>91</v>
      </c>
      <c r="H42" s="103">
        <v>3756.96</v>
      </c>
      <c r="I42" s="238">
        <v>356.4</v>
      </c>
      <c r="J42" s="240">
        <v>65.52</v>
      </c>
    </row>
    <row r="43" spans="3:20" x14ac:dyDescent="0.3">
      <c r="C43" s="45">
        <v>1104</v>
      </c>
      <c r="D43" s="103">
        <v>4413</v>
      </c>
      <c r="E43" s="37">
        <v>495</v>
      </c>
      <c r="F43" s="162">
        <v>91</v>
      </c>
      <c r="H43" s="103">
        <v>3177.3599999999997</v>
      </c>
      <c r="I43" s="238">
        <v>356.4</v>
      </c>
      <c r="J43" s="240">
        <v>65.52</v>
      </c>
    </row>
    <row r="44" spans="3:20" x14ac:dyDescent="0.3">
      <c r="C44" s="45">
        <v>1107</v>
      </c>
      <c r="D44" s="103">
        <v>5253</v>
      </c>
      <c r="E44" s="37">
        <v>495</v>
      </c>
      <c r="F44" s="162">
        <v>91</v>
      </c>
      <c r="G44" s="108"/>
      <c r="H44" s="103">
        <v>3782.16</v>
      </c>
      <c r="I44" s="238">
        <v>356.4</v>
      </c>
      <c r="J44" s="240">
        <v>65.52</v>
      </c>
    </row>
    <row r="45" spans="3:20" x14ac:dyDescent="0.3">
      <c r="C45" s="45">
        <v>1204</v>
      </c>
      <c r="D45" s="103">
        <v>4512</v>
      </c>
      <c r="E45" s="37">
        <v>495</v>
      </c>
      <c r="F45" s="162">
        <v>91</v>
      </c>
      <c r="H45" s="103">
        <v>3248.64</v>
      </c>
      <c r="I45" s="238">
        <v>356.4</v>
      </c>
      <c r="J45" s="240">
        <v>65.52</v>
      </c>
    </row>
    <row r="46" spans="3:20" x14ac:dyDescent="0.3">
      <c r="C46" s="46">
        <v>1207</v>
      </c>
      <c r="D46" s="234">
        <v>5258</v>
      </c>
      <c r="E46" s="64">
        <v>495</v>
      </c>
      <c r="F46" s="163">
        <v>91</v>
      </c>
      <c r="G46" s="101"/>
      <c r="H46" s="104">
        <v>3785.7599999999998</v>
      </c>
      <c r="I46" s="239">
        <v>356.4</v>
      </c>
      <c r="J46" s="241">
        <v>65.52</v>
      </c>
    </row>
    <row r="47" spans="3:20" x14ac:dyDescent="0.3">
      <c r="D47" s="7">
        <f>SUM(D32:D46)</f>
        <v>74273</v>
      </c>
      <c r="E47" s="7">
        <f>SUM(E32:E46)</f>
        <v>7425</v>
      </c>
      <c r="F47" s="7">
        <f>SUM(F32:F46)</f>
        <v>1365</v>
      </c>
      <c r="G47" s="101"/>
      <c r="H47" s="7">
        <f>SUM(H32:H46)</f>
        <v>53368.560000000005</v>
      </c>
      <c r="I47" s="7">
        <f t="shared" ref="I47:J47" si="18">SUM(I32:I46)</f>
        <v>5345.9999999999991</v>
      </c>
      <c r="J47" s="7">
        <f t="shared" si="18"/>
        <v>982.79999999999984</v>
      </c>
      <c r="K47" s="2"/>
    </row>
    <row r="48" spans="3:20" ht="18.600000000000001" thickBot="1" x14ac:dyDescent="0.4">
      <c r="F48" s="160">
        <f>SUM(D47:F47)</f>
        <v>83063</v>
      </c>
      <c r="G48" s="101"/>
      <c r="J48" s="160">
        <f>SUM(H47:J47)</f>
        <v>59697.360000000008</v>
      </c>
      <c r="L48" s="242">
        <f>J48/F48</f>
        <v>0.71869978209311014</v>
      </c>
    </row>
    <row r="52" spans="6:6" x14ac:dyDescent="0.3">
      <c r="F52" s="4">
        <f>F48*0.08</f>
        <v>6645.04</v>
      </c>
    </row>
  </sheetData>
  <mergeCells count="2">
    <mergeCell ref="M6:N6"/>
    <mergeCell ref="O6:P6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17B3-F82A-467F-9FC2-CA047DA968FE}">
  <dimension ref="A1:P18"/>
  <sheetViews>
    <sheetView workbookViewId="0">
      <selection activeCell="P17" sqref="P17"/>
    </sheetView>
  </sheetViews>
  <sheetFormatPr baseColWidth="10" defaultRowHeight="14.4" x14ac:dyDescent="0.3"/>
  <cols>
    <col min="2" max="2" width="7.6640625" bestFit="1" customWidth="1"/>
    <col min="3" max="3" width="7.6640625" customWidth="1"/>
    <col min="4" max="4" width="14.88671875" bestFit="1" customWidth="1"/>
    <col min="5" max="7" width="14.88671875" customWidth="1"/>
    <col min="8" max="8" width="13.88671875" bestFit="1" customWidth="1"/>
    <col min="9" max="9" width="7" bestFit="1" customWidth="1"/>
    <col min="14" max="14" width="15.44140625" bestFit="1" customWidth="1"/>
  </cols>
  <sheetData>
    <row r="1" spans="1:16" ht="15" thickBot="1" x14ac:dyDescent="0.35"/>
    <row r="2" spans="1:16" ht="34.799999999999997" customHeight="1" thickBot="1" x14ac:dyDescent="0.35">
      <c r="B2" s="257" t="s">
        <v>154</v>
      </c>
      <c r="C2" s="257"/>
      <c r="D2" s="258" t="s">
        <v>174</v>
      </c>
      <c r="E2" s="259" t="s">
        <v>171</v>
      </c>
      <c r="F2" s="259" t="s">
        <v>172</v>
      </c>
      <c r="G2" s="259" t="s">
        <v>173</v>
      </c>
      <c r="H2" s="260" t="str">
        <f>'IVA Dptos'!Q7</f>
        <v>Venta Total con Dcto (D+E+B)</v>
      </c>
      <c r="I2" s="3" t="s">
        <v>170</v>
      </c>
      <c r="J2" s="259" t="s">
        <v>176</v>
      </c>
      <c r="K2" s="259"/>
      <c r="M2" t="s">
        <v>154</v>
      </c>
      <c r="N2" t="s">
        <v>87</v>
      </c>
    </row>
    <row r="3" spans="1:16" x14ac:dyDescent="0.3">
      <c r="A3">
        <v>702</v>
      </c>
      <c r="B3" s="253" t="s">
        <v>155</v>
      </c>
      <c r="C3" s="253" t="str">
        <f t="shared" ref="C3:C17" si="0">CONCATENATE(B3)</f>
        <v xml:space="preserve">702       </v>
      </c>
      <c r="D3" s="254">
        <v>4312</v>
      </c>
      <c r="E3" s="256">
        <f>'IVA Dptos'!M8*0.8</f>
        <v>396</v>
      </c>
      <c r="F3" s="256">
        <f>'IVA Dptos'!O8*0.8</f>
        <v>72.8</v>
      </c>
      <c r="G3" s="256">
        <f>D3+E3+F3</f>
        <v>4780.8</v>
      </c>
      <c r="H3">
        <v>4091.76</v>
      </c>
      <c r="I3" s="2">
        <f>H3-G3</f>
        <v>-689.04</v>
      </c>
      <c r="J3">
        <v>4546.4000000000005</v>
      </c>
      <c r="K3" s="2">
        <f>J3-E3-F3</f>
        <v>4077.6000000000004</v>
      </c>
      <c r="M3" t="s">
        <v>155</v>
      </c>
      <c r="N3">
        <v>3670</v>
      </c>
      <c r="O3">
        <f>VLOOKUP(M3,$B$3:$K$17,10,0)</f>
        <v>4077.6000000000004</v>
      </c>
      <c r="P3">
        <f>O3-N3</f>
        <v>407.60000000000036</v>
      </c>
    </row>
    <row r="4" spans="1:16" x14ac:dyDescent="0.3">
      <c r="A4">
        <v>803</v>
      </c>
      <c r="B4" s="253" t="s">
        <v>156</v>
      </c>
      <c r="C4" s="253" t="str">
        <f t="shared" si="0"/>
        <v xml:space="preserve">803       </v>
      </c>
      <c r="D4" s="254">
        <v>4349</v>
      </c>
      <c r="E4" s="256">
        <f>'IVA Dptos'!M9*0.8</f>
        <v>396</v>
      </c>
      <c r="F4" s="256">
        <f>'IVA Dptos'!O9*0.8</f>
        <v>72.8</v>
      </c>
      <c r="G4" s="256">
        <f t="shared" ref="G4:G17" si="1">D4+E4+F4</f>
        <v>4817.8</v>
      </c>
      <c r="H4">
        <v>4115.5200000000004</v>
      </c>
      <c r="I4" s="2">
        <f t="shared" ref="I4:I17" si="2">H4-G4</f>
        <v>-702.27999999999975</v>
      </c>
      <c r="J4">
        <v>4572.8</v>
      </c>
      <c r="K4" s="2">
        <f t="shared" ref="K4:K17" si="3">J4-E4-F4</f>
        <v>4104</v>
      </c>
      <c r="M4" t="s">
        <v>156</v>
      </c>
      <c r="N4">
        <v>3694</v>
      </c>
      <c r="O4">
        <f t="shared" ref="O4:O17" si="4">VLOOKUP(M4,$B$3:$K$17,10,0)</f>
        <v>4104</v>
      </c>
      <c r="P4">
        <f t="shared" ref="P4:P17" si="5">O4-N4</f>
        <v>410</v>
      </c>
    </row>
    <row r="5" spans="1:16" x14ac:dyDescent="0.3">
      <c r="A5">
        <v>903</v>
      </c>
      <c r="B5" s="253" t="s">
        <v>157</v>
      </c>
      <c r="C5" s="253" t="str">
        <f t="shared" si="0"/>
        <v xml:space="preserve">903       </v>
      </c>
      <c r="D5" s="254">
        <v>4531</v>
      </c>
      <c r="E5" s="256">
        <f>'IVA Dptos'!M10*0.8</f>
        <v>396</v>
      </c>
      <c r="F5" s="256">
        <f>'IVA Dptos'!O10*0.8</f>
        <v>72.8</v>
      </c>
      <c r="G5" s="256">
        <f t="shared" si="1"/>
        <v>4999.8</v>
      </c>
      <c r="H5">
        <v>4260.24</v>
      </c>
      <c r="I5" s="2">
        <f t="shared" si="2"/>
        <v>-739.5600000000004</v>
      </c>
      <c r="J5">
        <v>4733.6000000000004</v>
      </c>
      <c r="K5" s="2">
        <f t="shared" si="3"/>
        <v>4264.8</v>
      </c>
      <c r="M5" t="s">
        <v>157</v>
      </c>
      <c r="N5">
        <v>3838</v>
      </c>
      <c r="O5">
        <f t="shared" si="4"/>
        <v>4264.8</v>
      </c>
      <c r="P5">
        <f t="shared" si="5"/>
        <v>426.80000000000018</v>
      </c>
    </row>
    <row r="6" spans="1:16" x14ac:dyDescent="0.3">
      <c r="A6">
        <v>1002</v>
      </c>
      <c r="B6" s="253" t="s">
        <v>158</v>
      </c>
      <c r="C6" s="253" t="str">
        <f t="shared" si="0"/>
        <v xml:space="preserve">1002      </v>
      </c>
      <c r="D6" s="254">
        <v>4561</v>
      </c>
      <c r="E6" s="256">
        <f>'IVA Dptos'!M11*0.8</f>
        <v>396</v>
      </c>
      <c r="F6" s="256">
        <f>'IVA Dptos'!O11*0.8</f>
        <v>72.8</v>
      </c>
      <c r="G6" s="256">
        <f t="shared" si="1"/>
        <v>5029.8</v>
      </c>
      <c r="H6">
        <v>4177.4399999999996</v>
      </c>
      <c r="I6" s="2">
        <f t="shared" si="2"/>
        <v>-852.36000000000058</v>
      </c>
      <c r="J6">
        <v>4641.6000000000004</v>
      </c>
      <c r="K6" s="2">
        <f t="shared" si="3"/>
        <v>4172.8</v>
      </c>
      <c r="M6" t="s">
        <v>158</v>
      </c>
      <c r="N6">
        <v>3756</v>
      </c>
      <c r="O6">
        <f t="shared" si="4"/>
        <v>4172.8</v>
      </c>
      <c r="P6">
        <f t="shared" si="5"/>
        <v>416.80000000000018</v>
      </c>
    </row>
    <row r="7" spans="1:16" x14ac:dyDescent="0.3">
      <c r="A7">
        <v>1003</v>
      </c>
      <c r="B7" s="253" t="s">
        <v>159</v>
      </c>
      <c r="C7" s="253" t="str">
        <f t="shared" si="0"/>
        <v xml:space="preserve">1003      </v>
      </c>
      <c r="D7" s="254">
        <v>4557</v>
      </c>
      <c r="E7" s="256">
        <f>'IVA Dptos'!M12*0.8</f>
        <v>396</v>
      </c>
      <c r="F7" s="256">
        <f>'IVA Dptos'!O12*0.8</f>
        <v>72.8</v>
      </c>
      <c r="G7" s="256">
        <f t="shared" si="1"/>
        <v>5025.8</v>
      </c>
      <c r="H7">
        <v>4173.84</v>
      </c>
      <c r="I7" s="2">
        <f t="shared" si="2"/>
        <v>-851.96</v>
      </c>
      <c r="J7">
        <v>4637.6000000000004</v>
      </c>
      <c r="K7" s="2">
        <f t="shared" si="3"/>
        <v>4168.8</v>
      </c>
      <c r="M7" t="s">
        <v>159</v>
      </c>
      <c r="N7">
        <v>3752</v>
      </c>
      <c r="O7">
        <f t="shared" si="4"/>
        <v>4168.8</v>
      </c>
      <c r="P7">
        <f t="shared" si="5"/>
        <v>416.80000000000018</v>
      </c>
    </row>
    <row r="8" spans="1:16" x14ac:dyDescent="0.3">
      <c r="A8">
        <v>1007</v>
      </c>
      <c r="B8" s="253" t="s">
        <v>160</v>
      </c>
      <c r="C8" s="253" t="str">
        <f t="shared" si="0"/>
        <v xml:space="preserve">1007      </v>
      </c>
      <c r="D8" s="254">
        <v>4563</v>
      </c>
      <c r="E8" s="256">
        <f>'IVA Dptos'!M13*0.8</f>
        <v>396</v>
      </c>
      <c r="F8" s="256">
        <f>'IVA Dptos'!O13*0.8</f>
        <v>72.8</v>
      </c>
      <c r="G8" s="256">
        <f t="shared" si="1"/>
        <v>5031.8</v>
      </c>
      <c r="H8">
        <v>4286.88</v>
      </c>
      <c r="I8" s="2">
        <f t="shared" si="2"/>
        <v>-744.92000000000007</v>
      </c>
      <c r="J8">
        <v>3912.8</v>
      </c>
      <c r="K8" s="2">
        <f t="shared" si="3"/>
        <v>3444</v>
      </c>
      <c r="M8" t="s">
        <v>160</v>
      </c>
      <c r="N8">
        <v>4831</v>
      </c>
      <c r="O8">
        <f t="shared" si="4"/>
        <v>3444</v>
      </c>
      <c r="P8">
        <f t="shared" si="5"/>
        <v>-1387</v>
      </c>
    </row>
    <row r="9" spans="1:16" x14ac:dyDescent="0.3">
      <c r="A9">
        <v>1104</v>
      </c>
      <c r="B9" s="253" t="s">
        <v>161</v>
      </c>
      <c r="C9" s="253" t="str">
        <f t="shared" si="0"/>
        <v xml:space="preserve">1104      </v>
      </c>
      <c r="D9" s="254">
        <v>2705</v>
      </c>
      <c r="E9" s="256">
        <f>'IVA Dptos'!M14*0.8</f>
        <v>396</v>
      </c>
      <c r="F9" s="256">
        <f>'IVA Dptos'!O14*0.8</f>
        <v>72.8</v>
      </c>
      <c r="G9" s="256">
        <f t="shared" si="1"/>
        <v>3173.8</v>
      </c>
      <c r="H9">
        <v>3599.2799999999997</v>
      </c>
      <c r="I9" s="2">
        <f t="shared" si="2"/>
        <v>425.47999999999956</v>
      </c>
      <c r="J9">
        <v>4694.4000000000005</v>
      </c>
      <c r="K9" s="2">
        <f t="shared" si="3"/>
        <v>4225.6000000000004</v>
      </c>
      <c r="M9" t="s">
        <v>161</v>
      </c>
      <c r="N9">
        <v>3177</v>
      </c>
      <c r="O9">
        <f t="shared" si="4"/>
        <v>4225.6000000000004</v>
      </c>
      <c r="P9">
        <f t="shared" si="5"/>
        <v>1048.6000000000004</v>
      </c>
    </row>
    <row r="10" spans="1:16" x14ac:dyDescent="0.3">
      <c r="A10">
        <v>1107</v>
      </c>
      <c r="B10" s="253" t="s">
        <v>162</v>
      </c>
      <c r="C10" s="253" t="str">
        <f t="shared" si="0"/>
        <v xml:space="preserve">1107      </v>
      </c>
      <c r="D10" s="254">
        <v>4450</v>
      </c>
      <c r="E10" s="256">
        <f>'IVA Dptos'!M15*0.8</f>
        <v>396</v>
      </c>
      <c r="F10" s="256">
        <f>'IVA Dptos'!O15*0.8</f>
        <v>72.8</v>
      </c>
      <c r="G10" s="256">
        <f t="shared" si="1"/>
        <v>4918.8</v>
      </c>
      <c r="H10">
        <v>4204.08</v>
      </c>
      <c r="I10" s="2">
        <f t="shared" si="2"/>
        <v>-714.72000000000025</v>
      </c>
      <c r="J10">
        <v>4612</v>
      </c>
      <c r="K10" s="2">
        <f t="shared" si="3"/>
        <v>4143.2</v>
      </c>
      <c r="M10" t="s">
        <v>162</v>
      </c>
      <c r="N10">
        <v>3782</v>
      </c>
      <c r="O10">
        <f t="shared" si="4"/>
        <v>4143.2</v>
      </c>
      <c r="P10">
        <f t="shared" si="5"/>
        <v>361.19999999999982</v>
      </c>
    </row>
    <row r="11" spans="1:16" x14ac:dyDescent="0.3">
      <c r="A11">
        <v>1204</v>
      </c>
      <c r="B11" s="253" t="s">
        <v>163</v>
      </c>
      <c r="C11" s="253" t="str">
        <f t="shared" si="0"/>
        <v xml:space="preserve">1204      </v>
      </c>
      <c r="D11" s="254">
        <v>3708</v>
      </c>
      <c r="E11" s="256">
        <f>'IVA Dptos'!M16*0.8</f>
        <v>396</v>
      </c>
      <c r="F11" s="256">
        <f>'IVA Dptos'!O16*0.8</f>
        <v>72.8</v>
      </c>
      <c r="G11" s="256">
        <f t="shared" si="1"/>
        <v>4176.8</v>
      </c>
      <c r="H11">
        <v>3670.56</v>
      </c>
      <c r="I11" s="2">
        <f t="shared" si="2"/>
        <v>-506.24000000000024</v>
      </c>
      <c r="J11">
        <v>3937.6000000000004</v>
      </c>
      <c r="K11" s="2">
        <f t="shared" si="3"/>
        <v>3468.8</v>
      </c>
      <c r="M11" t="s">
        <v>163</v>
      </c>
      <c r="N11">
        <v>3249</v>
      </c>
      <c r="O11">
        <f t="shared" si="4"/>
        <v>3468.8</v>
      </c>
      <c r="P11">
        <f t="shared" si="5"/>
        <v>219.80000000000018</v>
      </c>
    </row>
    <row r="12" spans="1:16" x14ac:dyDescent="0.3">
      <c r="A12">
        <v>1207</v>
      </c>
      <c r="B12" s="253" t="s">
        <v>164</v>
      </c>
      <c r="C12" s="253" t="str">
        <f t="shared" si="0"/>
        <v xml:space="preserve">1207      </v>
      </c>
      <c r="D12" s="254">
        <v>4597</v>
      </c>
      <c r="E12" s="256">
        <f>'IVA Dptos'!M17*0.8</f>
        <v>396</v>
      </c>
      <c r="F12" s="256">
        <f>'IVA Dptos'!O17*0.8</f>
        <v>72.8</v>
      </c>
      <c r="G12" s="256">
        <f t="shared" si="1"/>
        <v>5065.8</v>
      </c>
      <c r="H12">
        <v>4207.68</v>
      </c>
      <c r="I12" s="2">
        <f t="shared" si="2"/>
        <v>-858.11999999999989</v>
      </c>
      <c r="J12">
        <v>3974.4</v>
      </c>
      <c r="K12" s="2">
        <f t="shared" si="3"/>
        <v>3505.6</v>
      </c>
      <c r="M12" t="s">
        <v>164</v>
      </c>
      <c r="N12">
        <v>3786</v>
      </c>
      <c r="O12">
        <f t="shared" si="4"/>
        <v>3505.6</v>
      </c>
      <c r="P12">
        <f t="shared" si="5"/>
        <v>-280.40000000000009</v>
      </c>
    </row>
    <row r="13" spans="1:16" x14ac:dyDescent="0.3">
      <c r="A13">
        <v>1301</v>
      </c>
      <c r="B13" s="253" t="s">
        <v>165</v>
      </c>
      <c r="C13" s="253" t="str">
        <f t="shared" si="0"/>
        <v xml:space="preserve">1301      </v>
      </c>
      <c r="D13" s="254">
        <v>3506</v>
      </c>
      <c r="E13" s="256">
        <f>'IVA Dptos'!M18*0.8</f>
        <v>396</v>
      </c>
      <c r="F13" s="256">
        <f>'IVA Dptos'!O18*0.8</f>
        <v>72.8</v>
      </c>
      <c r="G13" s="256">
        <f t="shared" si="1"/>
        <v>3974.8</v>
      </c>
      <c r="H13">
        <v>3521.52</v>
      </c>
      <c r="I13" s="2">
        <f t="shared" si="2"/>
        <v>-453.2800000000002</v>
      </c>
      <c r="J13">
        <v>4763.2</v>
      </c>
      <c r="K13" s="2">
        <f t="shared" si="3"/>
        <v>4294.3999999999996</v>
      </c>
      <c r="M13" t="s">
        <v>165</v>
      </c>
      <c r="N13">
        <v>3100</v>
      </c>
      <c r="O13">
        <f t="shared" si="4"/>
        <v>4294.3999999999996</v>
      </c>
      <c r="P13">
        <f t="shared" si="5"/>
        <v>1194.3999999999996</v>
      </c>
    </row>
    <row r="14" spans="1:16" x14ac:dyDescent="0.3">
      <c r="A14">
        <v>1302</v>
      </c>
      <c r="B14" s="253" t="s">
        <v>166</v>
      </c>
      <c r="C14" s="253" t="str">
        <f t="shared" si="0"/>
        <v xml:space="preserve">1302      </v>
      </c>
      <c r="D14" s="254">
        <v>4617</v>
      </c>
      <c r="E14" s="256">
        <f>'IVA Dptos'!M19*0.8</f>
        <v>396</v>
      </c>
      <c r="F14" s="256">
        <f>'IVA Dptos'!O19*0.8</f>
        <v>72.8</v>
      </c>
      <c r="G14" s="256">
        <f t="shared" si="1"/>
        <v>5085.8</v>
      </c>
      <c r="H14">
        <v>4224.96</v>
      </c>
      <c r="I14" s="2">
        <f t="shared" si="2"/>
        <v>-860.84000000000015</v>
      </c>
      <c r="J14">
        <v>3999.2000000000003</v>
      </c>
      <c r="K14" s="2">
        <f t="shared" si="3"/>
        <v>3530.4</v>
      </c>
      <c r="M14" t="s">
        <v>166</v>
      </c>
      <c r="N14">
        <v>3803</v>
      </c>
      <c r="O14">
        <f t="shared" si="4"/>
        <v>3530.4</v>
      </c>
      <c r="P14">
        <f t="shared" si="5"/>
        <v>-272.59999999999991</v>
      </c>
    </row>
    <row r="15" spans="1:16" x14ac:dyDescent="0.3">
      <c r="A15">
        <v>1303</v>
      </c>
      <c r="B15" s="253" t="s">
        <v>167</v>
      </c>
      <c r="C15" s="253" t="str">
        <f t="shared" si="0"/>
        <v xml:space="preserve">1303      </v>
      </c>
      <c r="D15" s="254">
        <v>4530</v>
      </c>
      <c r="E15" s="256">
        <f>'IVA Dptos'!M20*0.8</f>
        <v>396</v>
      </c>
      <c r="F15" s="256">
        <f>'IVA Dptos'!O20*0.8</f>
        <v>72.8</v>
      </c>
      <c r="G15" s="256">
        <f t="shared" si="1"/>
        <v>4998.8</v>
      </c>
      <c r="H15">
        <v>4150.8</v>
      </c>
      <c r="I15" s="2">
        <f t="shared" si="2"/>
        <v>-848</v>
      </c>
      <c r="J15">
        <v>4671.2</v>
      </c>
      <c r="K15" s="2">
        <f t="shared" si="3"/>
        <v>4202.3999999999996</v>
      </c>
      <c r="M15" t="s">
        <v>167</v>
      </c>
      <c r="N15">
        <v>3729</v>
      </c>
      <c r="O15">
        <f t="shared" si="4"/>
        <v>4202.3999999999996</v>
      </c>
      <c r="P15">
        <f t="shared" si="5"/>
        <v>473.39999999999964</v>
      </c>
    </row>
    <row r="16" spans="1:16" x14ac:dyDescent="0.3">
      <c r="A16">
        <v>1304</v>
      </c>
      <c r="B16" s="253" t="s">
        <v>168</v>
      </c>
      <c r="C16" s="253" t="str">
        <f t="shared" si="0"/>
        <v xml:space="preserve">1304      </v>
      </c>
      <c r="D16" s="254">
        <v>3579</v>
      </c>
      <c r="E16" s="256">
        <f>'IVA Dptos'!M21*0.8</f>
        <v>396</v>
      </c>
      <c r="F16" s="256">
        <f>'IVA Dptos'!O21*0.8</f>
        <v>72.8</v>
      </c>
      <c r="G16" s="256">
        <f t="shared" si="1"/>
        <v>4047.8</v>
      </c>
      <c r="H16">
        <v>3543.84</v>
      </c>
      <c r="I16" s="2">
        <f t="shared" si="2"/>
        <v>-503.96000000000004</v>
      </c>
      <c r="J16">
        <v>4078.4</v>
      </c>
      <c r="K16" s="2">
        <f t="shared" si="3"/>
        <v>3609.6</v>
      </c>
      <c r="M16" t="s">
        <v>168</v>
      </c>
      <c r="N16">
        <v>3122</v>
      </c>
      <c r="O16">
        <f t="shared" si="4"/>
        <v>3609.6</v>
      </c>
      <c r="P16">
        <f t="shared" si="5"/>
        <v>487.59999999999991</v>
      </c>
    </row>
    <row r="17" spans="1:16" x14ac:dyDescent="0.3">
      <c r="A17">
        <v>1309</v>
      </c>
      <c r="B17" s="253" t="s">
        <v>169</v>
      </c>
      <c r="C17" s="253" t="str">
        <f t="shared" si="0"/>
        <v xml:space="preserve">1309      </v>
      </c>
      <c r="D17" s="254">
        <v>3690</v>
      </c>
      <c r="E17" s="256">
        <f>'IVA Dptos'!M22*0.8</f>
        <v>396</v>
      </c>
      <c r="F17" s="256">
        <f>'IVA Dptos'!O22*0.8</f>
        <v>72.8</v>
      </c>
      <c r="G17" s="256">
        <f t="shared" si="1"/>
        <v>4158.8</v>
      </c>
      <c r="H17">
        <v>3576.96</v>
      </c>
      <c r="I17" s="2">
        <f t="shared" si="2"/>
        <v>-581.84000000000015</v>
      </c>
      <c r="J17">
        <v>4675.2</v>
      </c>
      <c r="K17" s="2">
        <f t="shared" si="3"/>
        <v>4206.3999999999996</v>
      </c>
      <c r="M17" t="s">
        <v>169</v>
      </c>
      <c r="N17">
        <v>3155</v>
      </c>
      <c r="O17">
        <f t="shared" si="4"/>
        <v>4206.3999999999996</v>
      </c>
      <c r="P17">
        <f t="shared" si="5"/>
        <v>1051.3999999999996</v>
      </c>
    </row>
    <row r="18" spans="1:16" x14ac:dyDescent="0.3">
      <c r="D18" s="2">
        <f>SUM(D3:D17)</f>
        <v>62255</v>
      </c>
      <c r="E18" s="2">
        <f t="shared" ref="E18:F18" si="6">SUM(E3:E17)</f>
        <v>5940</v>
      </c>
      <c r="F18" s="2">
        <f t="shared" si="6"/>
        <v>1091.9999999999998</v>
      </c>
      <c r="G18" s="2">
        <f>SUM(G3:G17)</f>
        <v>69287.000000000015</v>
      </c>
      <c r="I18" s="2">
        <f>SUM(I3:I17)</f>
        <v>-9481.6400000000031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4E969-5D36-4ACE-B813-BBD7682B4E6E}">
  <dimension ref="A1:T31"/>
  <sheetViews>
    <sheetView showGridLines="0" zoomScale="85" zoomScaleNormal="85" workbookViewId="0">
      <selection activeCell="Q4" sqref="Q4"/>
    </sheetView>
  </sheetViews>
  <sheetFormatPr baseColWidth="10" defaultRowHeight="14.4" x14ac:dyDescent="0.3"/>
  <cols>
    <col min="1" max="1" width="8.88671875" bestFit="1" customWidth="1"/>
    <col min="2" max="2" width="6.109375" bestFit="1" customWidth="1"/>
    <col min="3" max="3" width="3" bestFit="1" customWidth="1"/>
    <col min="4" max="4" width="5.77734375" customWidth="1"/>
    <col min="5" max="5" width="16.33203125" bestFit="1" customWidth="1"/>
    <col min="6" max="6" width="14" bestFit="1" customWidth="1"/>
    <col min="7" max="7" width="12.88671875" bestFit="1" customWidth="1"/>
    <col min="8" max="8" width="17.33203125" bestFit="1" customWidth="1"/>
    <col min="9" max="9" width="13.21875" bestFit="1" customWidth="1"/>
    <col min="10" max="10" width="13" customWidth="1"/>
    <col min="12" max="12" width="16.5546875" bestFit="1" customWidth="1"/>
    <col min="13" max="13" width="2.77734375" customWidth="1"/>
    <col min="14" max="14" width="10.5546875" bestFit="1" customWidth="1"/>
    <col min="15" max="15" width="6.109375" bestFit="1" customWidth="1"/>
    <col min="16" max="16" width="2" customWidth="1"/>
    <col min="17" max="17" width="31.44140625" bestFit="1" customWidth="1"/>
    <col min="18" max="18" width="17.6640625" bestFit="1" customWidth="1"/>
    <col min="19" max="19" width="11.33203125" bestFit="1" customWidth="1"/>
    <col min="20" max="20" width="9.77734375" customWidth="1"/>
    <col min="22" max="22" width="12.44140625" bestFit="1" customWidth="1"/>
    <col min="24" max="24" width="14.33203125" bestFit="1" customWidth="1"/>
  </cols>
  <sheetData>
    <row r="1" spans="1:20" x14ac:dyDescent="0.3">
      <c r="A1" t="s">
        <v>93</v>
      </c>
      <c r="B1">
        <f>'IVA Dptos'!C1</f>
        <v>39850</v>
      </c>
      <c r="N1" t="s">
        <v>93</v>
      </c>
      <c r="O1">
        <f>'IVA Dptos'!C1</f>
        <v>39850</v>
      </c>
    </row>
    <row r="2" spans="1:20" x14ac:dyDescent="0.3">
      <c r="B2" s="13">
        <v>0.11</v>
      </c>
      <c r="C2" s="13"/>
    </row>
    <row r="3" spans="1:20" ht="45" customHeight="1" x14ac:dyDescent="0.3">
      <c r="D3" s="14" t="s">
        <v>16</v>
      </c>
      <c r="E3" s="14" t="s">
        <v>9</v>
      </c>
      <c r="F3" s="14" t="s">
        <v>9</v>
      </c>
      <c r="G3" s="14" t="s">
        <v>10</v>
      </c>
      <c r="H3" s="14" t="s">
        <v>12</v>
      </c>
      <c r="I3" s="14" t="s">
        <v>13</v>
      </c>
      <c r="J3" s="14" t="s">
        <v>14</v>
      </c>
      <c r="K3" s="14" t="s">
        <v>15</v>
      </c>
      <c r="L3" s="14" t="s">
        <v>17</v>
      </c>
      <c r="N3" s="14" t="s">
        <v>26</v>
      </c>
      <c r="O3" s="14" t="s">
        <v>1</v>
      </c>
      <c r="Q3" s="10" t="s">
        <v>127</v>
      </c>
      <c r="R3" s="10" t="s">
        <v>111</v>
      </c>
      <c r="S3" s="10" t="s">
        <v>27</v>
      </c>
      <c r="T3" s="10" t="s">
        <v>96</v>
      </c>
    </row>
    <row r="4" spans="1:20" x14ac:dyDescent="0.3">
      <c r="C4">
        <f>1</f>
        <v>1</v>
      </c>
      <c r="D4" s="243">
        <v>702</v>
      </c>
      <c r="E4" s="38">
        <v>715206.35547011951</v>
      </c>
      <c r="F4" s="39">
        <f>E4/$B$1</f>
        <v>17.94746186876084</v>
      </c>
      <c r="G4" s="40">
        <f>'IVA Dptos'!H8/$B$1</f>
        <v>1682.9718444165621</v>
      </c>
      <c r="H4" s="41">
        <f t="shared" ref="H4:H18" si="0">G4*$B$2</f>
        <v>185.12690288582183</v>
      </c>
      <c r="I4" s="42">
        <f>H4/12</f>
        <v>15.427241907151819</v>
      </c>
      <c r="J4" s="43">
        <f t="shared" ref="J4:J18" si="1">F4-I4</f>
        <v>2.5202199616090208</v>
      </c>
      <c r="K4" s="43">
        <f>J4*19%</f>
        <v>0.47884179270571398</v>
      </c>
      <c r="L4" s="44">
        <f t="shared" ref="L4:L18" si="2">F4-K4</f>
        <v>17.468620076055124</v>
      </c>
      <c r="N4" s="5">
        <v>3</v>
      </c>
      <c r="O4" s="5">
        <v>15</v>
      </c>
      <c r="Q4" s="11">
        <f>E4</f>
        <v>715206.35547011951</v>
      </c>
      <c r="R4" s="142">
        <f>Q4/$O$1</f>
        <v>17.94746186876084</v>
      </c>
      <c r="S4" s="141">
        <f>Q4*$O$4</f>
        <v>10728095.332051793</v>
      </c>
      <c r="T4" s="142">
        <f>S4/$O$1</f>
        <v>269.21192803141264</v>
      </c>
    </row>
    <row r="5" spans="1:20" x14ac:dyDescent="0.3">
      <c r="C5">
        <f t="shared" ref="C5:C18" si="3">+C4+1</f>
        <v>2</v>
      </c>
      <c r="D5" s="243">
        <v>803</v>
      </c>
      <c r="E5" s="38">
        <v>712738.90446374961</v>
      </c>
      <c r="F5" s="39">
        <f t="shared" ref="F5:F18" si="4">E5/$B$1</f>
        <v>17.88554339934127</v>
      </c>
      <c r="G5" s="40">
        <f>'IVA Dptos'!H9/$B$1</f>
        <v>1659.1960853199498</v>
      </c>
      <c r="H5" s="41">
        <f t="shared" si="0"/>
        <v>182.51156938519449</v>
      </c>
      <c r="I5" s="42">
        <f t="shared" ref="I5:I18" si="5">H5/12</f>
        <v>15.209297448766208</v>
      </c>
      <c r="J5" s="43">
        <f t="shared" si="1"/>
        <v>2.676245950575062</v>
      </c>
      <c r="K5" s="43">
        <f t="shared" ref="K5:K18" si="6">J5*19%</f>
        <v>0.50848673060926175</v>
      </c>
      <c r="L5" s="44">
        <f t="shared" si="2"/>
        <v>17.377056668732006</v>
      </c>
      <c r="N5">
        <v>3</v>
      </c>
    </row>
    <row r="6" spans="1:20" x14ac:dyDescent="0.3">
      <c r="C6">
        <f t="shared" si="3"/>
        <v>3</v>
      </c>
      <c r="D6" s="243">
        <v>903</v>
      </c>
      <c r="E6" s="38">
        <v>712245.41426247556</v>
      </c>
      <c r="F6" s="39">
        <f t="shared" si="4"/>
        <v>17.873159705457354</v>
      </c>
      <c r="G6" s="40">
        <f>'IVA Dptos'!H10/$B$1</f>
        <v>1659.1960853199498</v>
      </c>
      <c r="H6" s="41">
        <f t="shared" si="0"/>
        <v>182.51156938519449</v>
      </c>
      <c r="I6" s="42">
        <f t="shared" si="5"/>
        <v>15.209297448766208</v>
      </c>
      <c r="J6" s="43">
        <f t="shared" si="1"/>
        <v>2.6638622566911465</v>
      </c>
      <c r="K6" s="43">
        <f t="shared" si="6"/>
        <v>0.50613382877131785</v>
      </c>
      <c r="L6" s="44">
        <f t="shared" si="2"/>
        <v>17.367025876686036</v>
      </c>
      <c r="N6">
        <v>3</v>
      </c>
      <c r="Q6" s="10" t="s">
        <v>18</v>
      </c>
      <c r="R6" s="10" t="s">
        <v>112</v>
      </c>
      <c r="S6" s="10" t="s">
        <v>27</v>
      </c>
      <c r="T6" s="10" t="s">
        <v>96</v>
      </c>
    </row>
    <row r="7" spans="1:20" x14ac:dyDescent="0.3">
      <c r="C7">
        <f t="shared" si="3"/>
        <v>4</v>
      </c>
      <c r="D7" s="243">
        <v>1002</v>
      </c>
      <c r="E7" s="38">
        <v>715370.85220387753</v>
      </c>
      <c r="F7" s="39">
        <f t="shared" si="4"/>
        <v>17.951589766722147</v>
      </c>
      <c r="G7" s="40">
        <f>'IVA Dptos'!H11/$B$1</f>
        <v>1682.9718444165621</v>
      </c>
      <c r="H7" s="41">
        <f t="shared" si="0"/>
        <v>185.12690288582183</v>
      </c>
      <c r="I7" s="42">
        <f t="shared" si="5"/>
        <v>15.427241907151819</v>
      </c>
      <c r="J7" s="43">
        <f t="shared" si="1"/>
        <v>2.5243478595703284</v>
      </c>
      <c r="K7" s="43">
        <f t="shared" si="6"/>
        <v>0.47962609331836242</v>
      </c>
      <c r="L7" s="44">
        <f t="shared" si="2"/>
        <v>17.471963673403785</v>
      </c>
      <c r="N7">
        <v>3</v>
      </c>
      <c r="Q7" s="11">
        <v>2500000</v>
      </c>
      <c r="R7" s="142">
        <f>Q7/$O$1</f>
        <v>62.735257214554579</v>
      </c>
      <c r="S7" s="141">
        <f>Q7*$O$4</f>
        <v>37500000</v>
      </c>
      <c r="T7" s="142">
        <f>S7/$O$1</f>
        <v>941.02885821831865</v>
      </c>
    </row>
    <row r="8" spans="1:20" x14ac:dyDescent="0.3">
      <c r="C8">
        <f t="shared" si="3"/>
        <v>5</v>
      </c>
      <c r="D8" s="243">
        <v>1003</v>
      </c>
      <c r="E8" s="38">
        <v>712245.41426247556</v>
      </c>
      <c r="F8" s="39">
        <f t="shared" si="4"/>
        <v>17.873159705457354</v>
      </c>
      <c r="G8" s="40">
        <f>'IVA Dptos'!H12/$B$1</f>
        <v>1659.1960853199498</v>
      </c>
      <c r="H8" s="41">
        <f t="shared" si="0"/>
        <v>182.51156938519449</v>
      </c>
      <c r="I8" s="42">
        <f t="shared" si="5"/>
        <v>15.209297448766208</v>
      </c>
      <c r="J8" s="43">
        <f t="shared" si="1"/>
        <v>2.6638622566911465</v>
      </c>
      <c r="K8" s="43">
        <f t="shared" si="6"/>
        <v>0.50613382877131785</v>
      </c>
      <c r="L8" s="44">
        <f t="shared" si="2"/>
        <v>17.367025876686036</v>
      </c>
      <c r="N8">
        <v>3</v>
      </c>
    </row>
    <row r="9" spans="1:20" x14ac:dyDescent="0.3">
      <c r="C9">
        <f t="shared" si="3"/>
        <v>6</v>
      </c>
      <c r="D9" s="243">
        <v>1301</v>
      </c>
      <c r="E9" s="38">
        <v>532954.5768790188</v>
      </c>
      <c r="F9" s="39">
        <f t="shared" si="4"/>
        <v>13.374016985671739</v>
      </c>
      <c r="G9" s="40">
        <f>'IVA Dptos'!H13/$B$1</f>
        <v>1073.4335257214555</v>
      </c>
      <c r="H9" s="41">
        <f t="shared" si="0"/>
        <v>118.0776878293601</v>
      </c>
      <c r="I9" s="42">
        <f t="shared" si="5"/>
        <v>9.8398073191133424</v>
      </c>
      <c r="J9" s="43">
        <f t="shared" si="1"/>
        <v>3.5342096665583966</v>
      </c>
      <c r="K9" s="43">
        <f t="shared" si="6"/>
        <v>0.67149983664609536</v>
      </c>
      <c r="L9" s="44">
        <f t="shared" si="2"/>
        <v>12.702517149025644</v>
      </c>
      <c r="N9">
        <v>2</v>
      </c>
      <c r="Q9" s="10" t="s">
        <v>19</v>
      </c>
      <c r="R9" s="10" t="s">
        <v>113</v>
      </c>
      <c r="S9" s="10" t="s">
        <v>27</v>
      </c>
      <c r="T9" s="10" t="s">
        <v>96</v>
      </c>
    </row>
    <row r="10" spans="1:20" x14ac:dyDescent="0.3">
      <c r="C10">
        <f t="shared" si="3"/>
        <v>7</v>
      </c>
      <c r="D10" s="243">
        <v>1302</v>
      </c>
      <c r="E10" s="38">
        <v>715535.34893763554</v>
      </c>
      <c r="F10" s="39">
        <f t="shared" si="4"/>
        <v>17.955717664683451</v>
      </c>
      <c r="G10" s="40">
        <f>'IVA Dptos'!H14/$B$1</f>
        <v>1682.9718444165621</v>
      </c>
      <c r="H10" s="41">
        <f t="shared" si="0"/>
        <v>185.12690288582183</v>
      </c>
      <c r="I10" s="42">
        <f t="shared" si="5"/>
        <v>15.427241907151819</v>
      </c>
      <c r="J10" s="43">
        <f t="shared" si="1"/>
        <v>2.5284757575316323</v>
      </c>
      <c r="K10" s="43">
        <f t="shared" si="6"/>
        <v>0.48041039393101015</v>
      </c>
      <c r="L10" s="44">
        <f t="shared" si="2"/>
        <v>17.475307270752442</v>
      </c>
      <c r="N10">
        <v>3</v>
      </c>
      <c r="Q10" s="11">
        <v>20000</v>
      </c>
      <c r="R10" s="142">
        <f>Q10/$O$1</f>
        <v>0.50188205771643668</v>
      </c>
      <c r="S10" s="141">
        <f>Q10*$O$4</f>
        <v>300000</v>
      </c>
      <c r="T10" s="142">
        <f>S10/$O$1</f>
        <v>7.5282308657465498</v>
      </c>
    </row>
    <row r="11" spans="1:20" x14ac:dyDescent="0.3">
      <c r="C11">
        <f t="shared" si="3"/>
        <v>8</v>
      </c>
      <c r="D11" s="243">
        <v>1303</v>
      </c>
      <c r="E11" s="38">
        <v>712738.90446374961</v>
      </c>
      <c r="F11" s="39">
        <f t="shared" si="4"/>
        <v>17.88554339934127</v>
      </c>
      <c r="G11" s="40">
        <f>'IVA Dptos'!H15/$B$1</f>
        <v>1659.1960853199498</v>
      </c>
      <c r="H11" s="41">
        <f t="shared" si="0"/>
        <v>182.51156938519449</v>
      </c>
      <c r="I11" s="42">
        <f t="shared" si="5"/>
        <v>15.209297448766208</v>
      </c>
      <c r="J11" s="43">
        <f t="shared" si="1"/>
        <v>2.676245950575062</v>
      </c>
      <c r="K11" s="43">
        <f t="shared" si="6"/>
        <v>0.50848673060926175</v>
      </c>
      <c r="L11" s="44">
        <f t="shared" si="2"/>
        <v>17.377056668732006</v>
      </c>
      <c r="N11">
        <v>3</v>
      </c>
    </row>
    <row r="12" spans="1:20" x14ac:dyDescent="0.3">
      <c r="C12">
        <f t="shared" si="3"/>
        <v>9</v>
      </c>
      <c r="D12" s="243">
        <v>1304</v>
      </c>
      <c r="E12" s="38">
        <v>618023.17839749472</v>
      </c>
      <c r="F12" s="39">
        <f t="shared" si="4"/>
        <v>15.508737224529353</v>
      </c>
      <c r="G12" s="40">
        <f>'IVA Dptos'!H16/$B$1</f>
        <v>1240.3483814303638</v>
      </c>
      <c r="H12" s="41">
        <f t="shared" si="0"/>
        <v>136.43832195734001</v>
      </c>
      <c r="I12" s="42">
        <f t="shared" si="5"/>
        <v>11.369860163111667</v>
      </c>
      <c r="J12" s="43">
        <f t="shared" si="1"/>
        <v>4.138877061417686</v>
      </c>
      <c r="K12" s="43">
        <f t="shared" si="6"/>
        <v>0.78638664166936034</v>
      </c>
      <c r="L12" s="44">
        <f t="shared" si="2"/>
        <v>14.722350582859994</v>
      </c>
      <c r="N12">
        <v>2</v>
      </c>
      <c r="Q12" s="10" t="s">
        <v>20</v>
      </c>
      <c r="R12" s="10" t="s">
        <v>118</v>
      </c>
      <c r="S12" s="10" t="s">
        <v>27</v>
      </c>
      <c r="T12" s="10" t="s">
        <v>96</v>
      </c>
    </row>
    <row r="13" spans="1:20" x14ac:dyDescent="0.3">
      <c r="C13">
        <f t="shared" si="3"/>
        <v>10</v>
      </c>
      <c r="D13" s="243">
        <v>1309</v>
      </c>
      <c r="E13" s="38">
        <v>608050.563913416</v>
      </c>
      <c r="F13" s="39">
        <f t="shared" si="4"/>
        <v>15.258483410625244</v>
      </c>
      <c r="G13" s="40">
        <f>'IVA Dptos'!H17/$B$1</f>
        <v>1148.4358845671268</v>
      </c>
      <c r="H13" s="41">
        <f t="shared" si="0"/>
        <v>126.32794730238395</v>
      </c>
      <c r="I13" s="42">
        <f t="shared" si="5"/>
        <v>10.52732894186533</v>
      </c>
      <c r="J13" s="43">
        <f t="shared" si="1"/>
        <v>4.7311544687599145</v>
      </c>
      <c r="K13" s="43">
        <f t="shared" si="6"/>
        <v>0.89891934906438375</v>
      </c>
      <c r="L13" s="44">
        <f t="shared" si="2"/>
        <v>14.35956406156086</v>
      </c>
      <c r="N13">
        <v>2</v>
      </c>
      <c r="Q13" s="11">
        <f>R13*O1</f>
        <v>22042391.551421419</v>
      </c>
      <c r="R13" s="142">
        <f>-'Crédito Comercial 12A'!H8</f>
        <v>553.13404144093897</v>
      </c>
      <c r="S13" s="141">
        <f>Q13</f>
        <v>22042391.551421419</v>
      </c>
      <c r="T13" s="143">
        <f>S13/$O$1</f>
        <v>553.13404144093897</v>
      </c>
    </row>
    <row r="14" spans="1:20" x14ac:dyDescent="0.3">
      <c r="C14">
        <f t="shared" si="3"/>
        <v>11</v>
      </c>
      <c r="D14" s="243">
        <v>1007</v>
      </c>
      <c r="E14" s="38">
        <v>715535.68222680653</v>
      </c>
      <c r="F14" s="39">
        <f t="shared" si="4"/>
        <v>17.955726028276199</v>
      </c>
      <c r="G14" s="40">
        <f>'IVA Dptos'!H18/$B$1</f>
        <v>1682.9718444165621</v>
      </c>
      <c r="H14" s="41">
        <f t="shared" si="0"/>
        <v>185.12690288582183</v>
      </c>
      <c r="I14" s="42">
        <f t="shared" si="5"/>
        <v>15.427241907151819</v>
      </c>
      <c r="J14" s="43">
        <f t="shared" si="1"/>
        <v>2.5284841211243805</v>
      </c>
      <c r="K14" s="43">
        <f t="shared" si="6"/>
        <v>0.4804119830136323</v>
      </c>
      <c r="L14" s="44">
        <f t="shared" si="2"/>
        <v>17.475314045262568</v>
      </c>
      <c r="N14">
        <v>3</v>
      </c>
    </row>
    <row r="15" spans="1:20" x14ac:dyDescent="0.3">
      <c r="C15">
        <f t="shared" si="3"/>
        <v>12</v>
      </c>
      <c r="D15" s="243">
        <v>1104</v>
      </c>
      <c r="E15" s="38">
        <v>617694.1849299788</v>
      </c>
      <c r="F15" s="39">
        <f t="shared" si="4"/>
        <v>15.500481428606745</v>
      </c>
      <c r="G15" s="40">
        <f>'IVA Dptos'!H19/$B$1</f>
        <v>1240.3483814303638</v>
      </c>
      <c r="H15" s="41">
        <f t="shared" si="0"/>
        <v>136.43832195734001</v>
      </c>
      <c r="I15" s="42">
        <f t="shared" si="5"/>
        <v>11.369860163111667</v>
      </c>
      <c r="J15" s="43">
        <f t="shared" si="1"/>
        <v>4.130621265495078</v>
      </c>
      <c r="K15" s="43">
        <f t="shared" si="6"/>
        <v>0.78481804044406478</v>
      </c>
      <c r="L15" s="44">
        <f t="shared" si="2"/>
        <v>14.71566338816268</v>
      </c>
      <c r="N15">
        <v>2</v>
      </c>
      <c r="Q15" s="10" t="s">
        <v>114</v>
      </c>
      <c r="R15" s="10" t="s">
        <v>152</v>
      </c>
      <c r="S15" s="10" t="s">
        <v>27</v>
      </c>
      <c r="T15" s="10" t="s">
        <v>96</v>
      </c>
    </row>
    <row r="16" spans="1:20" x14ac:dyDescent="0.3">
      <c r="C16">
        <f t="shared" si="3"/>
        <v>13</v>
      </c>
      <c r="D16" s="243">
        <v>1107</v>
      </c>
      <c r="E16" s="38">
        <v>717303.68882553396</v>
      </c>
      <c r="F16" s="39">
        <f t="shared" si="4"/>
        <v>18.000092567767478</v>
      </c>
      <c r="G16" s="40">
        <f>'IVA Dptos'!H20/$B$1</f>
        <v>1682.9718444165621</v>
      </c>
      <c r="H16" s="41">
        <f t="shared" si="0"/>
        <v>185.12690288582183</v>
      </c>
      <c r="I16" s="42">
        <f t="shared" si="5"/>
        <v>15.427241907151819</v>
      </c>
      <c r="J16" s="43">
        <f t="shared" si="1"/>
        <v>2.5728506606156589</v>
      </c>
      <c r="K16" s="43">
        <f t="shared" si="6"/>
        <v>0.48884162551697519</v>
      </c>
      <c r="L16" s="44">
        <f t="shared" si="2"/>
        <v>17.511250942250502</v>
      </c>
      <c r="N16">
        <v>3</v>
      </c>
      <c r="Q16" s="11">
        <f>500000</f>
        <v>500000</v>
      </c>
      <c r="R16" s="142">
        <f>Q16/$O$1</f>
        <v>12.547051442910917</v>
      </c>
      <c r="S16" s="141">
        <f>Q16*$O$4</f>
        <v>7500000</v>
      </c>
      <c r="T16" s="142">
        <f>S16/$O$1</f>
        <v>188.20577164366375</v>
      </c>
    </row>
    <row r="17" spans="3:20" x14ac:dyDescent="0.3">
      <c r="C17">
        <f t="shared" si="3"/>
        <v>14</v>
      </c>
      <c r="D17" s="243">
        <v>1204</v>
      </c>
      <c r="E17" s="38">
        <v>616871.70126118883</v>
      </c>
      <c r="F17" s="39">
        <f t="shared" si="4"/>
        <v>15.479841938800222</v>
      </c>
      <c r="G17" s="40">
        <f>'IVA Dptos'!H21/$B$1</f>
        <v>1240.3483814303638</v>
      </c>
      <c r="H17" s="41">
        <f t="shared" si="0"/>
        <v>136.43832195734001</v>
      </c>
      <c r="I17" s="42">
        <f t="shared" si="5"/>
        <v>11.369860163111667</v>
      </c>
      <c r="J17" s="43">
        <f t="shared" si="1"/>
        <v>4.1099817756885546</v>
      </c>
      <c r="K17" s="43">
        <f t="shared" si="6"/>
        <v>0.78089653738082543</v>
      </c>
      <c r="L17" s="44">
        <f t="shared" si="2"/>
        <v>14.698945401419397</v>
      </c>
      <c r="N17">
        <v>2</v>
      </c>
    </row>
    <row r="18" spans="3:20" x14ac:dyDescent="0.3">
      <c r="C18">
        <f t="shared" si="3"/>
        <v>15</v>
      </c>
      <c r="D18" s="246">
        <v>1207</v>
      </c>
      <c r="E18" s="47">
        <v>715042.19202553248</v>
      </c>
      <c r="F18" s="48">
        <f t="shared" si="4"/>
        <v>17.943342334392284</v>
      </c>
      <c r="G18" s="49">
        <f>'IVA Dptos'!H22/$B$1</f>
        <v>1682.9718444165621</v>
      </c>
      <c r="H18" s="50">
        <f t="shared" si="0"/>
        <v>185.12690288582183</v>
      </c>
      <c r="I18" s="51">
        <f t="shared" si="5"/>
        <v>15.427241907151819</v>
      </c>
      <c r="J18" s="35">
        <f t="shared" si="1"/>
        <v>2.516100427240465</v>
      </c>
      <c r="K18" s="35">
        <f t="shared" si="6"/>
        <v>0.47805908117568835</v>
      </c>
      <c r="L18" s="52">
        <f t="shared" si="2"/>
        <v>17.465283253216597</v>
      </c>
      <c r="N18">
        <v>3</v>
      </c>
      <c r="Q18" s="10" t="s">
        <v>115</v>
      </c>
      <c r="R18" s="10" t="s">
        <v>115</v>
      </c>
      <c r="S18" s="10" t="s">
        <v>27</v>
      </c>
      <c r="T18" s="10" t="s">
        <v>96</v>
      </c>
    </row>
    <row r="19" spans="3:20" x14ac:dyDescent="0.3">
      <c r="E19" s="12">
        <f>AVERAGE(E4:E18)</f>
        <v>675837.13083487027</v>
      </c>
      <c r="F19" s="244">
        <f>SUM(F4:F18)</f>
        <v>254.39289742843295</v>
      </c>
      <c r="K19" s="245">
        <f>SUM(K4:K18)</f>
        <v>8.837952493627272</v>
      </c>
      <c r="L19" s="245">
        <f>F19-K19</f>
        <v>245.55494493480566</v>
      </c>
      <c r="O19" s="13">
        <f>50%</f>
        <v>0.5</v>
      </c>
      <c r="Q19" s="141">
        <f>Q4*O19</f>
        <v>357603.17773505975</v>
      </c>
      <c r="R19" s="142">
        <f>Q19/$O$1</f>
        <v>8.9737309343804199</v>
      </c>
      <c r="S19" s="141">
        <f>Q19*$O$4</f>
        <v>5364047.6660258966</v>
      </c>
      <c r="T19" s="142">
        <f>S19/$O$1</f>
        <v>134.60596401570632</v>
      </c>
    </row>
    <row r="20" spans="3:20" x14ac:dyDescent="0.3">
      <c r="F20" s="140">
        <f>+F19*B1</f>
        <v>10137556.962523052</v>
      </c>
    </row>
    <row r="21" spans="3:20" x14ac:dyDescent="0.3">
      <c r="E21" s="144"/>
      <c r="F21" s="147"/>
      <c r="G21" s="144"/>
      <c r="H21" s="144"/>
      <c r="Q21" s="10" t="s">
        <v>23</v>
      </c>
      <c r="R21" s="10" t="s">
        <v>151</v>
      </c>
      <c r="S21" s="10" t="s">
        <v>27</v>
      </c>
      <c r="T21" s="10" t="s">
        <v>96</v>
      </c>
    </row>
    <row r="22" spans="3:20" x14ac:dyDescent="0.3">
      <c r="E22" s="144"/>
      <c r="F22" s="146"/>
      <c r="G22" s="146"/>
      <c r="H22" s="146"/>
      <c r="O22" s="112" t="s">
        <v>150</v>
      </c>
      <c r="Q22" s="247">
        <v>218000</v>
      </c>
      <c r="R22" s="248">
        <f>Q22/$O$1</f>
        <v>5.4705144291091594</v>
      </c>
      <c r="S22" s="249">
        <f>Q22*$O$4</f>
        <v>3270000</v>
      </c>
      <c r="T22" s="248">
        <f>S22/$O$1</f>
        <v>82.057716436637392</v>
      </c>
    </row>
    <row r="23" spans="3:20" x14ac:dyDescent="0.3">
      <c r="E23" s="144"/>
      <c r="F23" s="144"/>
      <c r="G23" s="146"/>
      <c r="H23" s="146"/>
    </row>
    <row r="24" spans="3:20" x14ac:dyDescent="0.3">
      <c r="E24" s="144"/>
      <c r="F24" s="144"/>
      <c r="G24" s="146"/>
      <c r="H24" s="146"/>
      <c r="Q24" s="10" t="s">
        <v>116</v>
      </c>
      <c r="R24" s="10" t="s">
        <v>64</v>
      </c>
      <c r="S24" s="10" t="s">
        <v>27</v>
      </c>
      <c r="T24" s="10" t="s">
        <v>96</v>
      </c>
    </row>
    <row r="25" spans="3:20" x14ac:dyDescent="0.3">
      <c r="E25" s="144"/>
      <c r="F25" s="144"/>
      <c r="G25" s="146"/>
      <c r="H25" s="146"/>
      <c r="Q25" s="11">
        <v>0</v>
      </c>
      <c r="R25" s="142">
        <f>Q25/$O$1</f>
        <v>0</v>
      </c>
      <c r="S25" s="141">
        <f>Q25*$O$4</f>
        <v>0</v>
      </c>
      <c r="T25" s="142">
        <f>S25/$O$1</f>
        <v>0</v>
      </c>
    </row>
    <row r="26" spans="3:20" x14ac:dyDescent="0.3">
      <c r="E26" s="144"/>
      <c r="F26" s="144"/>
      <c r="G26" s="148"/>
      <c r="H26" s="148"/>
    </row>
    <row r="27" spans="3:20" x14ac:dyDescent="0.3">
      <c r="E27" s="144"/>
      <c r="F27" s="145"/>
      <c r="G27" s="144"/>
      <c r="H27" s="144"/>
      <c r="Q27" s="10" t="s">
        <v>65</v>
      </c>
      <c r="R27" s="10" t="s">
        <v>117</v>
      </c>
      <c r="S27" s="10" t="s">
        <v>27</v>
      </c>
      <c r="T27" s="10" t="s">
        <v>96</v>
      </c>
    </row>
    <row r="28" spans="3:20" x14ac:dyDescent="0.3">
      <c r="E28" s="144"/>
      <c r="F28" s="144"/>
      <c r="G28" s="144"/>
      <c r="H28" s="144"/>
      <c r="Q28" s="11">
        <v>20000</v>
      </c>
      <c r="R28" s="142">
        <f>Q28/$O$1</f>
        <v>0.50188205771643668</v>
      </c>
      <c r="S28" s="141">
        <f>Q28*$O$4</f>
        <v>300000</v>
      </c>
      <c r="T28" s="142">
        <f>S28/$O$1</f>
        <v>7.5282308657465498</v>
      </c>
    </row>
    <row r="30" spans="3:20" x14ac:dyDescent="0.3">
      <c r="Q30" s="10" t="s">
        <v>24</v>
      </c>
      <c r="R30" s="10" t="s">
        <v>175</v>
      </c>
      <c r="S30" s="10" t="s">
        <v>27</v>
      </c>
      <c r="T30" s="10" t="s">
        <v>96</v>
      </c>
    </row>
    <row r="31" spans="3:20" x14ac:dyDescent="0.3">
      <c r="O31" s="13">
        <v>7.0000000000000007E-2</v>
      </c>
      <c r="Q31" s="11">
        <f>Q4*O31</f>
        <v>50064.44488290837</v>
      </c>
      <c r="R31" s="142">
        <f>Q31/$O$1</f>
        <v>1.2563223308132589</v>
      </c>
      <c r="S31" s="141">
        <f>Q31*$O$4</f>
        <v>750966.67324362556</v>
      </c>
      <c r="T31" s="142">
        <f>S31/$O$1</f>
        <v>18.844834962198885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66DB-0C3D-42D3-8E34-E42F22DB5694}">
  <dimension ref="B2:S37"/>
  <sheetViews>
    <sheetView showGridLines="0" zoomScale="85" zoomScaleNormal="85" workbookViewId="0">
      <selection activeCell="E4" sqref="E4:J4"/>
    </sheetView>
  </sheetViews>
  <sheetFormatPr baseColWidth="10" defaultRowHeight="14.4" x14ac:dyDescent="0.3"/>
  <cols>
    <col min="2" max="2" width="17.44140625" bestFit="1" customWidth="1"/>
    <col min="3" max="3" width="9.88671875" bestFit="1" customWidth="1"/>
    <col min="5" max="5" width="12.6640625" bestFit="1" customWidth="1"/>
    <col min="7" max="7" width="11.88671875" bestFit="1" customWidth="1"/>
    <col min="15" max="15" width="12.44140625" bestFit="1" customWidth="1"/>
    <col min="16" max="16" width="11.88671875" bestFit="1" customWidth="1"/>
    <col min="19" max="19" width="12.44140625" bestFit="1" customWidth="1"/>
  </cols>
  <sheetData>
    <row r="2" spans="2:17" x14ac:dyDescent="0.3">
      <c r="E2">
        <v>2</v>
      </c>
      <c r="F2">
        <v>2</v>
      </c>
      <c r="G2">
        <v>2</v>
      </c>
      <c r="H2">
        <v>2</v>
      </c>
      <c r="I2">
        <v>2</v>
      </c>
    </row>
    <row r="3" spans="2:17" x14ac:dyDescent="0.3">
      <c r="B3" s="36" t="s">
        <v>41</v>
      </c>
      <c r="C3" s="88" t="s">
        <v>28</v>
      </c>
      <c r="D3" s="69" t="s">
        <v>29</v>
      </c>
      <c r="E3" s="69" t="s">
        <v>30</v>
      </c>
      <c r="F3" s="69" t="s">
        <v>31</v>
      </c>
      <c r="G3" s="69" t="s">
        <v>32</v>
      </c>
      <c r="H3" s="69" t="s">
        <v>33</v>
      </c>
      <c r="I3" s="69" t="s">
        <v>34</v>
      </c>
      <c r="J3" s="69" t="s">
        <v>35</v>
      </c>
      <c r="K3" s="69" t="s">
        <v>36</v>
      </c>
      <c r="L3" s="69" t="s">
        <v>37</v>
      </c>
      <c r="M3" s="69" t="s">
        <v>38</v>
      </c>
      <c r="N3" s="69" t="s">
        <v>39</v>
      </c>
      <c r="O3" s="69" t="s">
        <v>40</v>
      </c>
      <c r="P3" s="70" t="s">
        <v>27</v>
      </c>
    </row>
    <row r="4" spans="2:17" x14ac:dyDescent="0.3">
      <c r="B4" s="24" t="s">
        <v>42</v>
      </c>
      <c r="C4" s="25"/>
      <c r="D4" s="25"/>
      <c r="E4" s="25">
        <f>SUM(Arriendo!F4:F5)</f>
        <v>35.833005268102113</v>
      </c>
      <c r="F4" s="25">
        <f>SUM(Arriendo!F4:F7)</f>
        <v>71.657754740281618</v>
      </c>
      <c r="G4" s="25">
        <f>SUM(Arriendo!F4:F9)</f>
        <v>102.90493143141072</v>
      </c>
      <c r="H4" s="25">
        <f>SUM(Arriendo!F4:F11)</f>
        <v>138.74619249543542</v>
      </c>
      <c r="I4" s="25">
        <f>SUM(Arriendo!F4:F15)</f>
        <v>202.96962058747295</v>
      </c>
      <c r="J4" s="25">
        <f>SUM(Arriendo!F4:F18)</f>
        <v>254.39289742843295</v>
      </c>
      <c r="K4" s="25">
        <f t="shared" ref="K4:O4" si="0">J4</f>
        <v>254.39289742843295</v>
      </c>
      <c r="L4" s="25">
        <f t="shared" si="0"/>
        <v>254.39289742843295</v>
      </c>
      <c r="M4" s="25">
        <f t="shared" si="0"/>
        <v>254.39289742843295</v>
      </c>
      <c r="N4" s="25">
        <f t="shared" si="0"/>
        <v>254.39289742843295</v>
      </c>
      <c r="O4" s="25">
        <f t="shared" si="0"/>
        <v>254.39289742843295</v>
      </c>
      <c r="P4" s="26">
        <f>SUM(C4:O4)</f>
        <v>2078.4688890933003</v>
      </c>
    </row>
    <row r="5" spans="2:17" x14ac:dyDescent="0.3">
      <c r="B5" s="27" t="s">
        <v>43</v>
      </c>
      <c r="C5" s="28"/>
      <c r="D5" s="29"/>
      <c r="E5" s="29"/>
      <c r="F5" s="29"/>
      <c r="G5" s="29">
        <f>C11*0.19</f>
        <v>178.79548306148055</v>
      </c>
      <c r="H5" s="29"/>
      <c r="I5" s="29"/>
      <c r="J5" s="29"/>
      <c r="K5" s="29"/>
      <c r="L5" s="29"/>
      <c r="M5" s="29"/>
      <c r="N5" s="29"/>
      <c r="O5" s="29"/>
      <c r="P5" s="30">
        <f>SUM(C5:O5)</f>
        <v>178.79548306148055</v>
      </c>
    </row>
    <row r="6" spans="2:17" x14ac:dyDescent="0.3">
      <c r="B6" s="31" t="s">
        <v>44</v>
      </c>
      <c r="C6" s="32"/>
      <c r="D6" s="32"/>
      <c r="E6" s="32"/>
      <c r="F6" s="32"/>
      <c r="G6" s="32">
        <f>'IVA Dptos'!E23</f>
        <v>8157.4413559322047</v>
      </c>
      <c r="H6" s="32"/>
      <c r="I6" s="32"/>
      <c r="J6" s="32"/>
      <c r="K6" s="32"/>
      <c r="L6" s="32"/>
      <c r="M6" s="32"/>
      <c r="N6" s="32"/>
      <c r="O6" s="32"/>
      <c r="P6" s="33">
        <f>SUM(C6:O6)</f>
        <v>8157.4413559322047</v>
      </c>
    </row>
    <row r="7" spans="2:17" x14ac:dyDescent="0.3">
      <c r="B7" s="36" t="s">
        <v>46</v>
      </c>
      <c r="C7" s="88">
        <f t="shared" ref="C7:O7" si="1">SUM(C4:C6)</f>
        <v>0</v>
      </c>
      <c r="D7" s="69">
        <f t="shared" si="1"/>
        <v>0</v>
      </c>
      <c r="E7" s="95">
        <f t="shared" si="1"/>
        <v>35.833005268102113</v>
      </c>
      <c r="F7" s="95">
        <f t="shared" si="1"/>
        <v>71.657754740281618</v>
      </c>
      <c r="G7" s="95">
        <f t="shared" si="1"/>
        <v>8439.1417704250962</v>
      </c>
      <c r="H7" s="95">
        <f t="shared" si="1"/>
        <v>138.74619249543542</v>
      </c>
      <c r="I7" s="95">
        <f t="shared" si="1"/>
        <v>202.96962058747295</v>
      </c>
      <c r="J7" s="95">
        <f t="shared" si="1"/>
        <v>254.39289742843295</v>
      </c>
      <c r="K7" s="95">
        <f t="shared" si="1"/>
        <v>254.39289742843295</v>
      </c>
      <c r="L7" s="95">
        <f t="shared" si="1"/>
        <v>254.39289742843295</v>
      </c>
      <c r="M7" s="95">
        <f t="shared" si="1"/>
        <v>254.39289742843295</v>
      </c>
      <c r="N7" s="95">
        <f t="shared" si="1"/>
        <v>254.39289742843295</v>
      </c>
      <c r="O7" s="95">
        <f t="shared" si="1"/>
        <v>254.39289742843295</v>
      </c>
      <c r="P7" s="96">
        <f>SUM(P4:P6)</f>
        <v>10414.705728086985</v>
      </c>
    </row>
    <row r="10" spans="2:17" x14ac:dyDescent="0.3">
      <c r="B10" s="36" t="s">
        <v>45</v>
      </c>
      <c r="C10" s="88" t="s">
        <v>28</v>
      </c>
      <c r="D10" s="69" t="s">
        <v>29</v>
      </c>
      <c r="E10" s="69" t="s">
        <v>30</v>
      </c>
      <c r="F10" s="69" t="s">
        <v>31</v>
      </c>
      <c r="G10" s="69" t="s">
        <v>32</v>
      </c>
      <c r="H10" s="69" t="s">
        <v>33</v>
      </c>
      <c r="I10" s="69" t="s">
        <v>34</v>
      </c>
      <c r="J10" s="69" t="s">
        <v>35</v>
      </c>
      <c r="K10" s="69" t="s">
        <v>36</v>
      </c>
      <c r="L10" s="69" t="s">
        <v>37</v>
      </c>
      <c r="M10" s="69" t="s">
        <v>38</v>
      </c>
      <c r="N10" s="69" t="s">
        <v>39</v>
      </c>
      <c r="O10" s="69" t="s">
        <v>40</v>
      </c>
      <c r="P10" s="70" t="s">
        <v>27</v>
      </c>
    </row>
    <row r="11" spans="2:17" x14ac:dyDescent="0.3">
      <c r="B11" s="24" t="s">
        <v>18</v>
      </c>
      <c r="C11" s="25">
        <f>Arriendo!T7</f>
        <v>941.02885821831865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6">
        <f>SUM(C11:O11)</f>
        <v>941.02885821831865</v>
      </c>
    </row>
    <row r="12" spans="2:17" x14ac:dyDescent="0.3">
      <c r="B12" s="27" t="s">
        <v>19</v>
      </c>
      <c r="C12" s="29"/>
      <c r="D12" s="29"/>
      <c r="E12" s="29"/>
      <c r="G12" s="29">
        <f>Arriendo!$T$10</f>
        <v>7.5282308657465498</v>
      </c>
      <c r="H12" s="29"/>
      <c r="I12" s="29">
        <f>Arriendo!$T$10</f>
        <v>7.5282308657465498</v>
      </c>
      <c r="K12" s="29"/>
      <c r="L12" s="29">
        <f>Arriendo!$T$10</f>
        <v>7.5282308657465498</v>
      </c>
      <c r="M12" s="29"/>
      <c r="N12" s="29">
        <f>Arriendo!$T$10</f>
        <v>7.5282308657465498</v>
      </c>
      <c r="O12" s="29"/>
      <c r="P12" s="30">
        <f t="shared" ref="P12:P18" si="2">SUM(C12:O12)</f>
        <v>30.112923462986199</v>
      </c>
    </row>
    <row r="13" spans="2:17" x14ac:dyDescent="0.3">
      <c r="B13" s="27" t="s">
        <v>20</v>
      </c>
      <c r="C13" s="29"/>
      <c r="D13" s="29">
        <f>-'Crédito Comercial 12A'!$H$8</f>
        <v>553.13404144093897</v>
      </c>
      <c r="E13" s="29">
        <f>-'Crédito Comercial 12A'!$H$8</f>
        <v>553.13404144093897</v>
      </c>
      <c r="F13" s="29">
        <f>-'Crédito Comercial 12A'!$H$8</f>
        <v>553.13404144093897</v>
      </c>
      <c r="G13" s="29">
        <f>-'Crédito Comercial 12A'!$H$8</f>
        <v>553.13404144093897</v>
      </c>
      <c r="H13" s="29">
        <f>-'Crédito Comercial 12A'!$H$8</f>
        <v>553.13404144093897</v>
      </c>
      <c r="I13" s="29">
        <f>-'Crédito Comercial 12A'!$H$8</f>
        <v>553.13404144093897</v>
      </c>
      <c r="J13" s="29">
        <f>-'Crédito Comercial 12A'!$H$8</f>
        <v>553.13404144093897</v>
      </c>
      <c r="K13" s="29">
        <f>-'Crédito Comercial 12A'!$H$8</f>
        <v>553.13404144093897</v>
      </c>
      <c r="L13" s="29">
        <f>-'Crédito Comercial 12A'!$H$8</f>
        <v>553.13404144093897</v>
      </c>
      <c r="M13" s="29">
        <f>-'Crédito Comercial 12A'!$H$8</f>
        <v>553.13404144093897</v>
      </c>
      <c r="N13" s="29">
        <f>-'Crédito Comercial 12A'!$H$8</f>
        <v>553.13404144093897</v>
      </c>
      <c r="O13" s="29">
        <f>-'Crédito Comercial 12A'!$H$8</f>
        <v>553.13404144093897</v>
      </c>
      <c r="P13" s="30">
        <f>SUM(C13:O13)</f>
        <v>6637.6084972912658</v>
      </c>
      <c r="Q13" s="19">
        <f>+P13-P4</f>
        <v>4559.1396081979656</v>
      </c>
    </row>
    <row r="14" spans="2:17" x14ac:dyDescent="0.3">
      <c r="B14" s="27" t="s">
        <v>21</v>
      </c>
      <c r="C14" s="29">
        <f>Arriendo!T16</f>
        <v>188.20577164366375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>
        <f t="shared" si="2"/>
        <v>188.20577164366375</v>
      </c>
    </row>
    <row r="15" spans="2:17" x14ac:dyDescent="0.3">
      <c r="B15" s="27" t="s">
        <v>22</v>
      </c>
      <c r="C15" s="29"/>
      <c r="D15" s="29"/>
      <c r="E15" s="29">
        <f>Arriendo!$R$19*2</f>
        <v>17.94746186876084</v>
      </c>
      <c r="F15" s="29">
        <f>Arriendo!$R$19*2</f>
        <v>17.94746186876084</v>
      </c>
      <c r="G15" s="29">
        <f>Arriendo!$R$19*2</f>
        <v>17.94746186876084</v>
      </c>
      <c r="H15" s="29">
        <f>Arriendo!$R$19*2</f>
        <v>17.94746186876084</v>
      </c>
      <c r="I15" s="29">
        <f>Arriendo!$R$19*4</f>
        <v>35.89492373752168</v>
      </c>
      <c r="J15" s="29">
        <f>Arriendo!$R$19*3</f>
        <v>26.92119280314126</v>
      </c>
      <c r="K15" s="29"/>
      <c r="L15" s="29"/>
      <c r="M15" s="29"/>
      <c r="N15" s="29"/>
      <c r="O15" s="29"/>
      <c r="P15" s="30">
        <f>SUM(C15:O15)</f>
        <v>134.60596401570629</v>
      </c>
    </row>
    <row r="16" spans="2:17" x14ac:dyDescent="0.3">
      <c r="B16" s="27" t="s">
        <v>23</v>
      </c>
      <c r="C16" s="29"/>
      <c r="D16" s="29">
        <f>Arriendo!$T$22</f>
        <v>82.057716436637392</v>
      </c>
      <c r="E16" s="29">
        <f>Arriendo!$R$22*13</f>
        <v>71.116687578419075</v>
      </c>
      <c r="F16" s="29">
        <f>Arriendo!$R$22*11</f>
        <v>60.175658720200751</v>
      </c>
      <c r="G16" s="29">
        <f>Arriendo!$R$22*9</f>
        <v>49.234629861982434</v>
      </c>
      <c r="H16" s="29">
        <f>Arriendo!$R$22*7</f>
        <v>38.293601003764117</v>
      </c>
      <c r="I16" s="29">
        <f>Arriendo!$R$22*3</f>
        <v>16.411543287327479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30">
        <f>SUM(C16:O16)</f>
        <v>317.28983688833131</v>
      </c>
    </row>
    <row r="17" spans="2:19" x14ac:dyDescent="0.3">
      <c r="B17" s="27" t="s">
        <v>24</v>
      </c>
      <c r="C17" s="29"/>
      <c r="D17" s="29">
        <v>0</v>
      </c>
      <c r="E17" s="29">
        <f>Arriendo!$R$31*2</f>
        <v>2.5126446616265179</v>
      </c>
      <c r="F17" s="29">
        <f>Arriendo!$R$31*4</f>
        <v>5.0252893232530358</v>
      </c>
      <c r="G17" s="29">
        <f>Arriendo!$R$31*6</f>
        <v>7.5379339848795537</v>
      </c>
      <c r="H17" s="29">
        <f>Arriendo!$R$31*8</f>
        <v>10.050578646506072</v>
      </c>
      <c r="I17" s="29">
        <f>Arriendo!$R$31*12</f>
        <v>15.075867969759107</v>
      </c>
      <c r="J17" s="29">
        <f>Arriendo!$R$31*15</f>
        <v>18.844834962198885</v>
      </c>
      <c r="K17" s="29">
        <f t="shared" ref="K17:O17" si="3">J17</f>
        <v>18.844834962198885</v>
      </c>
      <c r="L17" s="29">
        <f t="shared" si="3"/>
        <v>18.844834962198885</v>
      </c>
      <c r="M17" s="29">
        <f t="shared" si="3"/>
        <v>18.844834962198885</v>
      </c>
      <c r="N17" s="29">
        <f t="shared" si="3"/>
        <v>18.844834962198885</v>
      </c>
      <c r="O17" s="29">
        <f t="shared" si="3"/>
        <v>18.844834962198885</v>
      </c>
      <c r="P17" s="30">
        <f t="shared" si="2"/>
        <v>153.2713243592176</v>
      </c>
    </row>
    <row r="18" spans="2:19" x14ac:dyDescent="0.3">
      <c r="B18" s="27" t="s">
        <v>64</v>
      </c>
      <c r="C18" s="29"/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30">
        <f t="shared" si="2"/>
        <v>0</v>
      </c>
    </row>
    <row r="19" spans="2:19" x14ac:dyDescent="0.3">
      <c r="B19" s="27" t="s">
        <v>65</v>
      </c>
      <c r="C19" s="29"/>
      <c r="D19" s="29">
        <f>Arriendo!$T$28</f>
        <v>7.5282308657465498</v>
      </c>
      <c r="E19" s="29">
        <f>Arriendo!$T$28</f>
        <v>7.5282308657465498</v>
      </c>
      <c r="F19" s="29">
        <f>Arriendo!$T$28</f>
        <v>7.5282308657465498</v>
      </c>
      <c r="G19" s="29">
        <f>Arriendo!$T$28</f>
        <v>7.5282308657465498</v>
      </c>
      <c r="H19" s="29">
        <f>Arriendo!$T$28</f>
        <v>7.5282308657465498</v>
      </c>
      <c r="I19" s="29">
        <f>Arriendo!$T$28</f>
        <v>7.5282308657465498</v>
      </c>
      <c r="J19" s="29">
        <f>Arriendo!$T$28</f>
        <v>7.5282308657465498</v>
      </c>
      <c r="K19" s="29">
        <f>Arriendo!$T$28</f>
        <v>7.5282308657465498</v>
      </c>
      <c r="L19" s="29">
        <f>Arriendo!$T$28</f>
        <v>7.5282308657465498</v>
      </c>
      <c r="M19" s="29">
        <f>Arriendo!$T$28</f>
        <v>7.5282308657465498</v>
      </c>
      <c r="N19" s="29">
        <f>Arriendo!$T$28</f>
        <v>7.5282308657465498</v>
      </c>
      <c r="O19" s="29">
        <f>Arriendo!$T$28</f>
        <v>7.5282308657465498</v>
      </c>
      <c r="P19" s="30">
        <f>SUM(C19:O19)</f>
        <v>90.338770388958594</v>
      </c>
    </row>
    <row r="20" spans="2:19" x14ac:dyDescent="0.3">
      <c r="B20" s="31" t="s">
        <v>25</v>
      </c>
      <c r="C20" s="32"/>
      <c r="D20" s="32"/>
      <c r="E20" s="32">
        <f>SUM(Arriendo!K4:K5)</f>
        <v>0.98732852331497578</v>
      </c>
      <c r="F20" s="32">
        <f>SUM(Arriendo!K4:K7)</f>
        <v>1.973088445404656</v>
      </c>
      <c r="G20" s="32">
        <f>SUM(Arriendo!K4:K9)</f>
        <v>3.1507221108220693</v>
      </c>
      <c r="H20" s="32">
        <f>SUM(Arriendo!$K$4:$K$11)</f>
        <v>4.1396192353623409</v>
      </c>
      <c r="I20" s="32">
        <f>SUM(Arriendo!$K$4:$K$15)</f>
        <v>7.0901552495537823</v>
      </c>
      <c r="J20" s="32">
        <f>SUM(Arriendo!$K$4:$K$18)</f>
        <v>8.837952493627272</v>
      </c>
      <c r="K20" s="32">
        <f t="shared" ref="K20:O20" si="4">+J20</f>
        <v>8.837952493627272</v>
      </c>
      <c r="L20" s="32">
        <f t="shared" si="4"/>
        <v>8.837952493627272</v>
      </c>
      <c r="M20" s="32">
        <f t="shared" si="4"/>
        <v>8.837952493627272</v>
      </c>
      <c r="N20" s="32">
        <f t="shared" si="4"/>
        <v>8.837952493627272</v>
      </c>
      <c r="O20" s="32">
        <f t="shared" si="4"/>
        <v>8.837952493627272</v>
      </c>
      <c r="P20" s="33">
        <f>SUM(C20:O20)</f>
        <v>70.368628526221457</v>
      </c>
      <c r="R20" s="19"/>
    </row>
    <row r="21" spans="2:19" x14ac:dyDescent="0.3">
      <c r="B21" s="36" t="s">
        <v>47</v>
      </c>
      <c r="C21" s="92">
        <f>SUM(C11:C20)</f>
        <v>1129.2346298619823</v>
      </c>
      <c r="D21" s="93">
        <f t="shared" ref="D21:O21" si="5">SUM(D11:D20)</f>
        <v>642.71998874332292</v>
      </c>
      <c r="E21" s="93">
        <f t="shared" si="5"/>
        <v>653.22639493880683</v>
      </c>
      <c r="F21" s="93">
        <f t="shared" si="5"/>
        <v>645.78377066430471</v>
      </c>
      <c r="G21" s="93">
        <f t="shared" si="5"/>
        <v>646.06125099887686</v>
      </c>
      <c r="H21" s="93">
        <f t="shared" si="5"/>
        <v>631.09353306107892</v>
      </c>
      <c r="I21" s="93">
        <f t="shared" si="5"/>
        <v>642.66299341659408</v>
      </c>
      <c r="J21" s="93">
        <f t="shared" si="5"/>
        <v>615.26625256565296</v>
      </c>
      <c r="K21" s="93">
        <f t="shared" si="5"/>
        <v>588.34505976251171</v>
      </c>
      <c r="L21" s="93">
        <f t="shared" si="5"/>
        <v>595.87329062825825</v>
      </c>
      <c r="M21" s="93">
        <f t="shared" si="5"/>
        <v>588.34505976251171</v>
      </c>
      <c r="N21" s="93">
        <f t="shared" si="5"/>
        <v>595.87329062825825</v>
      </c>
      <c r="O21" s="93">
        <f t="shared" si="5"/>
        <v>588.34505976251171</v>
      </c>
      <c r="P21" s="94">
        <f>SUM(P11:P20)</f>
        <v>8562.8305747946688</v>
      </c>
      <c r="Q21" s="107"/>
    </row>
    <row r="23" spans="2:19" x14ac:dyDescent="0.3">
      <c r="B23" s="36" t="s">
        <v>48</v>
      </c>
      <c r="C23" s="89">
        <f>C7-C21</f>
        <v>-1129.2346298619823</v>
      </c>
      <c r="D23" s="90">
        <f>D7-D21</f>
        <v>-642.71998874332292</v>
      </c>
      <c r="E23" s="90">
        <f t="shared" ref="E23:O23" si="6">E7-E21</f>
        <v>-617.39338967070466</v>
      </c>
      <c r="F23" s="90">
        <f t="shared" si="6"/>
        <v>-574.12601592402314</v>
      </c>
      <c r="G23" s="90">
        <f t="shared" si="6"/>
        <v>7793.0805194262193</v>
      </c>
      <c r="H23" s="90">
        <f t="shared" si="6"/>
        <v>-492.34734056564349</v>
      </c>
      <c r="I23" s="90">
        <f t="shared" si="6"/>
        <v>-439.69337282912113</v>
      </c>
      <c r="J23" s="90">
        <f t="shared" si="6"/>
        <v>-360.87335513722002</v>
      </c>
      <c r="K23" s="90">
        <f t="shared" si="6"/>
        <v>-333.95216233407876</v>
      </c>
      <c r="L23" s="90">
        <f t="shared" si="6"/>
        <v>-341.4803931998253</v>
      </c>
      <c r="M23" s="90">
        <f t="shared" si="6"/>
        <v>-333.95216233407876</v>
      </c>
      <c r="N23" s="90">
        <f t="shared" si="6"/>
        <v>-341.4803931998253</v>
      </c>
      <c r="O23" s="90">
        <f t="shared" si="6"/>
        <v>-333.95216233407876</v>
      </c>
      <c r="P23" s="91">
        <f>SUM(C23:O23)</f>
        <v>1851.8751532923143</v>
      </c>
    </row>
    <row r="24" spans="2:19" x14ac:dyDescent="0.3">
      <c r="B24" s="36" t="s">
        <v>49</v>
      </c>
      <c r="C24" s="89">
        <f>C23</f>
        <v>-1129.2346298619823</v>
      </c>
      <c r="D24" s="90">
        <f>C24+D23</f>
        <v>-1771.9546186053053</v>
      </c>
      <c r="E24" s="90">
        <f t="shared" ref="E24:O24" si="7">D24+E23</f>
        <v>-2389.3480082760098</v>
      </c>
      <c r="F24" s="90">
        <f t="shared" si="7"/>
        <v>-2963.474024200033</v>
      </c>
      <c r="G24" s="90">
        <f t="shared" si="7"/>
        <v>4829.6064952261859</v>
      </c>
      <c r="H24" s="90">
        <f t="shared" si="7"/>
        <v>4337.2591546605427</v>
      </c>
      <c r="I24" s="90">
        <f t="shared" si="7"/>
        <v>3897.5657818314216</v>
      </c>
      <c r="J24" s="90">
        <f t="shared" si="7"/>
        <v>3536.6924266942015</v>
      </c>
      <c r="K24" s="90">
        <f t="shared" si="7"/>
        <v>3202.7402643601226</v>
      </c>
      <c r="L24" s="90">
        <f t="shared" si="7"/>
        <v>2861.2598711602973</v>
      </c>
      <c r="M24" s="90">
        <f t="shared" si="7"/>
        <v>2527.3077088262185</v>
      </c>
      <c r="N24" s="90">
        <f t="shared" si="7"/>
        <v>2185.8273156263931</v>
      </c>
      <c r="O24" s="90">
        <f t="shared" si="7"/>
        <v>1851.8751532923143</v>
      </c>
      <c r="P24" s="91"/>
    </row>
    <row r="28" spans="2:19" x14ac:dyDescent="0.3">
      <c r="C28" s="19"/>
      <c r="E28">
        <v>6</v>
      </c>
      <c r="F28">
        <v>9</v>
      </c>
      <c r="G28">
        <v>13</v>
      </c>
      <c r="H28">
        <v>20</v>
      </c>
    </row>
    <row r="29" spans="2:19" x14ac:dyDescent="0.3">
      <c r="C29" s="19"/>
      <c r="E29">
        <v>7</v>
      </c>
      <c r="F29">
        <v>10</v>
      </c>
      <c r="G29">
        <v>15</v>
      </c>
      <c r="H29">
        <v>23</v>
      </c>
    </row>
    <row r="30" spans="2:19" x14ac:dyDescent="0.3">
      <c r="E30">
        <v>8</v>
      </c>
      <c r="F30">
        <v>11</v>
      </c>
      <c r="G30">
        <v>17</v>
      </c>
      <c r="H30">
        <v>4</v>
      </c>
      <c r="S30" s="2"/>
    </row>
    <row r="31" spans="2:19" x14ac:dyDescent="0.3">
      <c r="E31">
        <v>12</v>
      </c>
      <c r="F31">
        <v>14</v>
      </c>
      <c r="G31">
        <v>18</v>
      </c>
      <c r="H31">
        <v>5</v>
      </c>
    </row>
    <row r="32" spans="2:19" x14ac:dyDescent="0.3">
      <c r="E32">
        <v>21</v>
      </c>
      <c r="F32">
        <v>22</v>
      </c>
      <c r="G32">
        <v>19</v>
      </c>
      <c r="H32">
        <v>15</v>
      </c>
    </row>
    <row r="37" spans="15:15" x14ac:dyDescent="0.3">
      <c r="O37" s="4"/>
    </row>
  </sheetData>
  <sortState xmlns:xlrd2="http://schemas.microsoft.com/office/spreadsheetml/2017/richdata2" ref="Q41:Q60">
    <sortCondition ref="Q41:Q60"/>
  </sortState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B423E-5F9C-4CCB-8732-AD2644B0AD84}">
  <sheetPr>
    <tabColor rgb="FF92D050"/>
  </sheetPr>
  <dimension ref="B2:R47"/>
  <sheetViews>
    <sheetView showGridLines="0" tabSelected="1" zoomScale="77" zoomScaleNormal="100" workbookViewId="0">
      <selection activeCell="Q33" sqref="Q33"/>
    </sheetView>
  </sheetViews>
  <sheetFormatPr baseColWidth="10" defaultRowHeight="14.4" x14ac:dyDescent="0.3"/>
  <cols>
    <col min="1" max="1" width="3.109375" customWidth="1"/>
    <col min="2" max="2" width="6.6640625" bestFit="1" customWidth="1"/>
    <col min="3" max="3" width="2.44140625" customWidth="1"/>
    <col min="4" max="4" width="43.5546875" bestFit="1" customWidth="1"/>
    <col min="5" max="5" width="10.44140625" bestFit="1" customWidth="1"/>
    <col min="6" max="6" width="11" bestFit="1" customWidth="1"/>
    <col min="7" max="7" width="10.44140625" bestFit="1" customWidth="1"/>
    <col min="8" max="8" width="11.109375" bestFit="1" customWidth="1"/>
    <col min="9" max="10" width="11.5546875" bestFit="1" customWidth="1"/>
    <col min="11" max="11" width="6.109375" bestFit="1" customWidth="1"/>
    <col min="12" max="14" width="11.5546875" bestFit="1" customWidth="1"/>
    <col min="15" max="15" width="4.21875" customWidth="1"/>
    <col min="16" max="16" width="17.44140625" bestFit="1" customWidth="1"/>
    <col min="17" max="17" width="16.6640625" bestFit="1" customWidth="1"/>
    <col min="18" max="18" width="18" bestFit="1" customWidth="1"/>
    <col min="19" max="19" width="17.21875" bestFit="1" customWidth="1"/>
  </cols>
  <sheetData>
    <row r="2" spans="2:17" x14ac:dyDescent="0.3">
      <c r="D2" s="36" t="s">
        <v>41</v>
      </c>
      <c r="E2" s="69" t="s">
        <v>72</v>
      </c>
      <c r="F2" s="69" t="s">
        <v>50</v>
      </c>
      <c r="G2" s="69" t="s">
        <v>51</v>
      </c>
      <c r="H2" s="69" t="s">
        <v>52</v>
      </c>
      <c r="I2" s="69" t="s">
        <v>53</v>
      </c>
      <c r="J2" s="69" t="s">
        <v>54</v>
      </c>
      <c r="K2" s="69" t="s">
        <v>125</v>
      </c>
      <c r="L2" s="123" t="s">
        <v>99</v>
      </c>
      <c r="M2" s="123" t="s">
        <v>20</v>
      </c>
      <c r="N2" s="70" t="s">
        <v>27</v>
      </c>
      <c r="O2" s="119"/>
    </row>
    <row r="3" spans="2:17" x14ac:dyDescent="0.3">
      <c r="D3" s="24" t="s">
        <v>42</v>
      </c>
      <c r="E3" s="25"/>
      <c r="F3" s="25">
        <f>'Flujo mensual'!P4</f>
        <v>2078.4688890933003</v>
      </c>
      <c r="G3" s="25">
        <f>'Flujo mensual'!$O$4*12*0.9</f>
        <v>2747.4432922270762</v>
      </c>
      <c r="H3" s="25">
        <f>'Flujo mensual'!$O$4*12*0.9</f>
        <v>2747.4432922270762</v>
      </c>
      <c r="I3" s="25">
        <f>'Flujo mensual'!$O$4*12*0.9</f>
        <v>2747.4432922270762</v>
      </c>
      <c r="J3" s="25">
        <f>'Flujo mensual'!$O$4*12*0.9</f>
        <v>2747.4432922270762</v>
      </c>
      <c r="K3" s="124"/>
      <c r="L3" s="124"/>
      <c r="M3" s="124"/>
      <c r="N3" s="26">
        <f>SUM(F3:M3)</f>
        <v>13068.242058001604</v>
      </c>
      <c r="O3" s="100"/>
    </row>
    <row r="4" spans="2:17" x14ac:dyDescent="0.3">
      <c r="D4" s="27" t="s">
        <v>43</v>
      </c>
      <c r="E4" s="29"/>
      <c r="F4" s="29">
        <f>'Flujo mensual'!G5</f>
        <v>178.79548306148055</v>
      </c>
      <c r="G4" s="29">
        <v>0</v>
      </c>
      <c r="H4" s="29">
        <v>0</v>
      </c>
      <c r="I4" s="29">
        <v>0</v>
      </c>
      <c r="J4" s="29">
        <v>0</v>
      </c>
      <c r="K4" s="84"/>
      <c r="L4" s="84"/>
      <c r="M4" s="84"/>
      <c r="N4" s="30">
        <f t="shared" ref="N4:N6" si="0">SUM(F4:M4)</f>
        <v>178.79548306148055</v>
      </c>
      <c r="O4" s="100"/>
    </row>
    <row r="5" spans="2:17" x14ac:dyDescent="0.3">
      <c r="D5" s="27" t="s">
        <v>44</v>
      </c>
      <c r="E5" s="29"/>
      <c r="F5" s="29">
        <f>'Flujo mensual'!G6</f>
        <v>8157.4413559322047</v>
      </c>
      <c r="G5" s="29">
        <v>0</v>
      </c>
      <c r="H5" s="29">
        <v>0</v>
      </c>
      <c r="I5" s="29">
        <v>0</v>
      </c>
      <c r="J5" s="29">
        <v>0</v>
      </c>
      <c r="K5" s="84"/>
      <c r="L5" s="84"/>
      <c r="M5" s="84"/>
      <c r="N5" s="30">
        <f t="shared" si="0"/>
        <v>8157.4413559322047</v>
      </c>
      <c r="O5" s="100"/>
    </row>
    <row r="6" spans="2:17" x14ac:dyDescent="0.3">
      <c r="D6" s="31" t="s">
        <v>55</v>
      </c>
      <c r="E6" s="32"/>
      <c r="F6" s="32">
        <v>0</v>
      </c>
      <c r="G6" s="32">
        <v>0</v>
      </c>
      <c r="H6" s="32">
        <v>0</v>
      </c>
      <c r="I6" s="32">
        <v>0</v>
      </c>
      <c r="J6" s="32">
        <f>'IVA Dptos'!AD23*0.9</f>
        <v>74756.7</v>
      </c>
      <c r="K6" s="85"/>
      <c r="L6" s="85"/>
      <c r="M6" s="85"/>
      <c r="N6" s="33">
        <f t="shared" si="0"/>
        <v>74756.7</v>
      </c>
      <c r="O6" s="100"/>
    </row>
    <row r="7" spans="2:17" x14ac:dyDescent="0.3">
      <c r="D7" s="36" t="s">
        <v>46</v>
      </c>
      <c r="E7" s="71">
        <f t="shared" ref="E7" si="1">SUM(E3:E6)</f>
        <v>0</v>
      </c>
      <c r="F7" s="71">
        <f>SUM(F3:F6)</f>
        <v>10414.705728086985</v>
      </c>
      <c r="G7" s="71">
        <f t="shared" ref="G7:J7" si="2">SUM(G3:G6)</f>
        <v>2747.4432922270762</v>
      </c>
      <c r="H7" s="71">
        <f t="shared" si="2"/>
        <v>2747.4432922270762</v>
      </c>
      <c r="I7" s="71">
        <f t="shared" si="2"/>
        <v>2747.4432922270762</v>
      </c>
      <c r="J7" s="71">
        <f t="shared" si="2"/>
        <v>77504.143292227076</v>
      </c>
      <c r="K7" s="71">
        <f t="shared" ref="K7:M7" si="3">SUM(K3:K6)</f>
        <v>0</v>
      </c>
      <c r="L7" s="71">
        <f t="shared" si="3"/>
        <v>0</v>
      </c>
      <c r="M7" s="71">
        <f t="shared" si="3"/>
        <v>0</v>
      </c>
      <c r="N7" s="72">
        <f>SUM(N3:N6)</f>
        <v>96161.17889699529</v>
      </c>
      <c r="O7" s="120"/>
    </row>
    <row r="9" spans="2:17" x14ac:dyDescent="0.3">
      <c r="B9" s="1"/>
      <c r="C9" s="1"/>
      <c r="D9" s="36" t="s">
        <v>45</v>
      </c>
      <c r="E9" s="69" t="s">
        <v>72</v>
      </c>
      <c r="F9" s="69" t="s">
        <v>50</v>
      </c>
      <c r="G9" s="69" t="s">
        <v>51</v>
      </c>
      <c r="H9" s="69" t="s">
        <v>52</v>
      </c>
      <c r="I9" s="69" t="s">
        <v>53</v>
      </c>
      <c r="J9" s="69" t="s">
        <v>54</v>
      </c>
      <c r="K9" s="69" t="s">
        <v>125</v>
      </c>
      <c r="L9" s="123"/>
      <c r="M9" s="123"/>
      <c r="N9" s="70" t="s">
        <v>27</v>
      </c>
      <c r="O9" s="119"/>
      <c r="Q9" s="1"/>
    </row>
    <row r="10" spans="2:17" x14ac:dyDescent="0.3">
      <c r="B10" s="1"/>
      <c r="C10" s="1"/>
      <c r="D10" s="78" t="s">
        <v>18</v>
      </c>
      <c r="E10" s="29">
        <f>'Flujo mensual'!C11</f>
        <v>941.02885821831865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/>
      <c r="L10" s="29"/>
      <c r="M10" s="29"/>
      <c r="N10" s="79">
        <f>SUM(E10:M10)</f>
        <v>941.02885821831865</v>
      </c>
      <c r="O10" s="100"/>
      <c r="Q10" s="1"/>
    </row>
    <row r="11" spans="2:17" x14ac:dyDescent="0.3">
      <c r="B11" s="1"/>
      <c r="C11" s="1"/>
      <c r="D11" s="27" t="s">
        <v>19</v>
      </c>
      <c r="E11" s="29"/>
      <c r="F11" s="29">
        <f>'Flujo mensual'!$P$12</f>
        <v>30.112923462986199</v>
      </c>
      <c r="G11" s="29">
        <f>'Flujo mensual'!$P$12</f>
        <v>30.112923462986199</v>
      </c>
      <c r="H11" s="29">
        <f>'Flujo mensual'!$P$12</f>
        <v>30.112923462986199</v>
      </c>
      <c r="I11" s="29">
        <f>'Flujo mensual'!$P$12</f>
        <v>30.112923462986199</v>
      </c>
      <c r="J11" s="29">
        <f>'Flujo mensual'!$P$12</f>
        <v>30.112923462986199</v>
      </c>
      <c r="K11" s="86"/>
      <c r="L11" s="86"/>
      <c r="M11" s="86"/>
      <c r="N11" s="79">
        <f t="shared" ref="N11:N20" si="4">SUM(E11:M11)</f>
        <v>150.56461731493098</v>
      </c>
      <c r="O11" s="100"/>
      <c r="Q11" s="1"/>
    </row>
    <row r="12" spans="2:17" x14ac:dyDescent="0.3">
      <c r="B12" s="1"/>
      <c r="C12" s="1"/>
      <c r="D12" s="78" t="s">
        <v>95</v>
      </c>
      <c r="E12" s="29">
        <f>'Crédito Comercial 12A'!D10</f>
        <v>0</v>
      </c>
      <c r="F12" s="29"/>
      <c r="G12" s="29"/>
      <c r="H12" s="29"/>
      <c r="I12" s="29"/>
      <c r="J12" s="29"/>
      <c r="K12" s="86"/>
      <c r="L12" s="86"/>
      <c r="M12" s="86"/>
      <c r="N12" s="79">
        <f>SUM(E12:M12)</f>
        <v>0</v>
      </c>
      <c r="O12" s="100"/>
      <c r="P12" s="1"/>
      <c r="Q12" s="1"/>
    </row>
    <row r="13" spans="2:17" x14ac:dyDescent="0.3">
      <c r="B13" s="1"/>
      <c r="C13" s="1"/>
      <c r="D13" s="27" t="s">
        <v>20</v>
      </c>
      <c r="E13" s="29"/>
      <c r="F13" s="29">
        <f>'Flujo mensual'!$P$13</f>
        <v>6637.6084972912658</v>
      </c>
      <c r="G13" s="29">
        <f>'Flujo mensual'!$P$13</f>
        <v>6637.6084972912658</v>
      </c>
      <c r="H13" s="29">
        <f>'Flujo mensual'!$P$13</f>
        <v>6637.6084972912658</v>
      </c>
      <c r="I13" s="29">
        <f>'Flujo mensual'!$P$13</f>
        <v>6637.6084972912658</v>
      </c>
      <c r="J13" s="29">
        <f>'Flujo mensual'!$P$13</f>
        <v>6637.6084972912658</v>
      </c>
      <c r="K13" s="86"/>
      <c r="L13" s="86"/>
      <c r="M13" s="86"/>
      <c r="N13" s="79">
        <f>SUM(E13:M13)</f>
        <v>33188.042486456332</v>
      </c>
      <c r="O13" s="100"/>
      <c r="P13" s="1"/>
    </row>
    <row r="14" spans="2:17" x14ac:dyDescent="0.3">
      <c r="D14" s="27" t="s">
        <v>21</v>
      </c>
      <c r="E14" s="29">
        <f>'Flujo mensual'!P14</f>
        <v>188.20577164366375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86"/>
      <c r="L14" s="86"/>
      <c r="M14" s="86"/>
      <c r="N14" s="79">
        <f t="shared" si="4"/>
        <v>188.20577164366375</v>
      </c>
      <c r="O14" s="100"/>
    </row>
    <row r="15" spans="2:17" x14ac:dyDescent="0.3">
      <c r="D15" s="27" t="s">
        <v>22</v>
      </c>
      <c r="E15" s="29"/>
      <c r="F15" s="29">
        <f>'Flujo mensual'!P15</f>
        <v>134.60596401570629</v>
      </c>
      <c r="G15" s="29">
        <v>0</v>
      </c>
      <c r="H15" s="29">
        <v>0</v>
      </c>
      <c r="I15" s="29">
        <v>0</v>
      </c>
      <c r="J15" s="29">
        <v>0</v>
      </c>
      <c r="K15" s="86"/>
      <c r="L15" s="86"/>
      <c r="M15" s="86"/>
      <c r="N15" s="79">
        <f t="shared" si="4"/>
        <v>134.60596401570629</v>
      </c>
      <c r="O15" s="100"/>
    </row>
    <row r="16" spans="2:17" x14ac:dyDescent="0.3">
      <c r="D16" s="27" t="s">
        <v>23</v>
      </c>
      <c r="E16" s="29"/>
      <c r="F16" s="29">
        <f>'Flujo mensual'!P16</f>
        <v>317.28983688833131</v>
      </c>
      <c r="G16" s="29">
        <v>0</v>
      </c>
      <c r="H16" s="29">
        <v>0</v>
      </c>
      <c r="I16" s="29">
        <v>0</v>
      </c>
      <c r="J16" s="29">
        <v>0</v>
      </c>
      <c r="K16" s="86"/>
      <c r="L16" s="86"/>
      <c r="M16" s="86"/>
      <c r="N16" s="79">
        <f t="shared" si="4"/>
        <v>317.28983688833131</v>
      </c>
      <c r="O16" s="100"/>
    </row>
    <row r="17" spans="3:18" x14ac:dyDescent="0.3">
      <c r="D17" s="27" t="s">
        <v>24</v>
      </c>
      <c r="E17" s="29"/>
      <c r="F17" s="29">
        <f>'Flujo mensual'!P17</f>
        <v>153.2713243592176</v>
      </c>
      <c r="G17" s="29">
        <f>'Flujo mensual'!$O$17*12*0.9</f>
        <v>203.52421759174794</v>
      </c>
      <c r="H17" s="29">
        <f>'Flujo mensual'!$O$17*12*0.9</f>
        <v>203.52421759174794</v>
      </c>
      <c r="I17" s="29">
        <f>'Flujo mensual'!$O$17*12*0.9</f>
        <v>203.52421759174794</v>
      </c>
      <c r="J17" s="29">
        <f>'Flujo mensual'!$O$17*12*0.9</f>
        <v>203.52421759174794</v>
      </c>
      <c r="K17" s="86"/>
      <c r="L17" s="86"/>
      <c r="M17" s="86"/>
      <c r="N17" s="79">
        <f>SUM(E17:M17)</f>
        <v>967.36819472620948</v>
      </c>
      <c r="O17" s="100"/>
    </row>
    <row r="18" spans="3:18" x14ac:dyDescent="0.3">
      <c r="D18" s="27" t="s">
        <v>65</v>
      </c>
      <c r="E18" s="29"/>
      <c r="F18" s="29">
        <f>'Flujo mensual'!$P$19</f>
        <v>90.338770388958594</v>
      </c>
      <c r="G18" s="29">
        <f>'Flujo mensual'!$P$19</f>
        <v>90.338770388958594</v>
      </c>
      <c r="H18" s="29">
        <f>'Flujo mensual'!$P$19</f>
        <v>90.338770388958594</v>
      </c>
      <c r="I18" s="29">
        <f>'Flujo mensual'!$P$19</f>
        <v>90.338770388958594</v>
      </c>
      <c r="J18" s="29">
        <f>'Flujo mensual'!$P$19</f>
        <v>90.338770388958594</v>
      </c>
      <c r="K18" s="86"/>
      <c r="L18" s="86"/>
      <c r="M18" s="86"/>
      <c r="N18" s="79">
        <f>SUM(E18:M18)</f>
        <v>451.69385194479298</v>
      </c>
      <c r="O18" s="100"/>
    </row>
    <row r="19" spans="3:18" x14ac:dyDescent="0.3">
      <c r="D19" s="27" t="s">
        <v>100</v>
      </c>
      <c r="E19" s="29"/>
      <c r="F19" s="29">
        <f>'Crédito C12'!O9</f>
        <v>67.5</v>
      </c>
      <c r="G19" s="29">
        <f>'Crédito C12'!AA9</f>
        <v>180</v>
      </c>
      <c r="H19" s="29">
        <f>'Crédito C12'!AM9</f>
        <v>412.5</v>
      </c>
      <c r="I19" s="29">
        <f>'Crédito C12'!AY9</f>
        <v>705</v>
      </c>
      <c r="J19" s="29">
        <f>'Crédito C12'!BK9</f>
        <v>910</v>
      </c>
      <c r="K19" s="86"/>
      <c r="L19" s="86"/>
      <c r="M19" s="86"/>
      <c r="N19" s="79">
        <f>SUM(E19:M19)</f>
        <v>2275</v>
      </c>
      <c r="O19" s="100"/>
      <c r="R19" s="19"/>
    </row>
    <row r="20" spans="3:18" x14ac:dyDescent="0.3">
      <c r="D20" s="27" t="s">
        <v>25</v>
      </c>
      <c r="E20" s="29"/>
      <c r="F20" s="29">
        <f>'Flujo mensual'!P20</f>
        <v>70.368628526221457</v>
      </c>
      <c r="G20" s="29">
        <f>'Flujo mensual'!$O$20*12</f>
        <v>106.05542992352727</v>
      </c>
      <c r="H20" s="29">
        <f>'Flujo mensual'!$O$20*12</f>
        <v>106.05542992352727</v>
      </c>
      <c r="I20" s="29">
        <f>'Flujo mensual'!$O$20*12</f>
        <v>106.05542992352727</v>
      </c>
      <c r="J20" s="29">
        <f>'Flujo mensual'!$O$20*12</f>
        <v>106.05542992352727</v>
      </c>
      <c r="K20" s="86"/>
      <c r="L20" s="86"/>
      <c r="M20" s="86"/>
      <c r="N20" s="79">
        <f t="shared" si="4"/>
        <v>494.59034822033061</v>
      </c>
      <c r="O20" s="100"/>
      <c r="R20" s="19"/>
    </row>
    <row r="21" spans="3:18" x14ac:dyDescent="0.3">
      <c r="D21" s="83" t="s">
        <v>126</v>
      </c>
      <c r="E21" s="157"/>
      <c r="F21" s="157"/>
      <c r="G21" s="157"/>
      <c r="H21" s="157"/>
      <c r="I21" s="157"/>
      <c r="J21" s="157"/>
      <c r="K21" s="158">
        <v>0</v>
      </c>
      <c r="L21" s="158"/>
      <c r="M21" s="158"/>
      <c r="N21" s="159"/>
      <c r="O21" s="100"/>
      <c r="R21" s="19"/>
    </row>
    <row r="22" spans="3:18" x14ac:dyDescent="0.3">
      <c r="D22" s="80" t="s">
        <v>47</v>
      </c>
      <c r="E22" s="81">
        <f>SUM(E10:E21)</f>
        <v>1129.2346298619823</v>
      </c>
      <c r="F22" s="81">
        <f>SUM(F10:F21)</f>
        <v>7501.0959449326874</v>
      </c>
      <c r="G22" s="81">
        <f>SUM(G10:G21)</f>
        <v>7247.639838658486</v>
      </c>
      <c r="H22" s="81">
        <f t="shared" ref="H22:K22" si="5">SUM(H10:H21)</f>
        <v>7480.139838658486</v>
      </c>
      <c r="I22" s="81">
        <f t="shared" si="5"/>
        <v>7772.639838658486</v>
      </c>
      <c r="J22" s="81">
        <f>SUM(J10:J21)</f>
        <v>7977.639838658486</v>
      </c>
      <c r="K22" s="81">
        <f t="shared" si="5"/>
        <v>0</v>
      </c>
      <c r="L22" s="81">
        <f t="shared" ref="L22:M22" si="6">SUM(L10:L20)</f>
        <v>0</v>
      </c>
      <c r="M22" s="81">
        <f t="shared" si="6"/>
        <v>0</v>
      </c>
      <c r="N22" s="82">
        <f>SUM(N10:N20)</f>
        <v>39108.389929428609</v>
      </c>
      <c r="O22" s="100"/>
      <c r="P22" s="19"/>
    </row>
    <row r="23" spans="3:18" ht="6" customHeight="1" x14ac:dyDescent="0.3"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121"/>
    </row>
    <row r="24" spans="3:18" x14ac:dyDescent="0.3">
      <c r="D24" s="36" t="s">
        <v>106</v>
      </c>
      <c r="E24" s="74">
        <f t="shared" ref="E24:J24" si="7">E7-E22</f>
        <v>-1129.2346298619823</v>
      </c>
      <c r="F24" s="74">
        <f t="shared" si="7"/>
        <v>2913.6097831542975</v>
      </c>
      <c r="G24" s="74">
        <f t="shared" si="7"/>
        <v>-4500.1965464314098</v>
      </c>
      <c r="H24" s="74">
        <f t="shared" si="7"/>
        <v>-4732.6965464314098</v>
      </c>
      <c r="I24" s="74">
        <f t="shared" si="7"/>
        <v>-5025.1965464314098</v>
      </c>
      <c r="J24" s="74">
        <f t="shared" si="7"/>
        <v>69526.503453568585</v>
      </c>
      <c r="K24" s="74"/>
      <c r="L24" s="74">
        <f t="shared" ref="L24:M24" si="8">L7-L22</f>
        <v>0</v>
      </c>
      <c r="M24" s="74">
        <f t="shared" si="8"/>
        <v>0</v>
      </c>
      <c r="N24" s="73">
        <f>SUM(E24:M24)</f>
        <v>57052.788967566667</v>
      </c>
      <c r="P24" s="19">
        <f>N7-N22-J27-J28</f>
        <v>10075.89414408931</v>
      </c>
    </row>
    <row r="25" spans="3:18" x14ac:dyDescent="0.3">
      <c r="D25" s="36" t="s">
        <v>49</v>
      </c>
      <c r="E25" s="75">
        <f>E24</f>
        <v>-1129.2346298619823</v>
      </c>
      <c r="F25" s="75">
        <f>E25+F24</f>
        <v>1784.3751532923152</v>
      </c>
      <c r="G25" s="75">
        <f>F25+G24</f>
        <v>-2715.8213931390947</v>
      </c>
      <c r="H25" s="75">
        <f>G25+H24</f>
        <v>-7448.5179395705045</v>
      </c>
      <c r="I25" s="75">
        <f>H25+I24</f>
        <v>-12473.714486001914</v>
      </c>
      <c r="J25" s="75">
        <f>I25+J24</f>
        <v>57052.788967566667</v>
      </c>
      <c r="K25" s="75"/>
      <c r="L25" s="75"/>
      <c r="M25" s="75"/>
      <c r="O25" s="120"/>
      <c r="P25" s="19"/>
    </row>
    <row r="26" spans="3:18" ht="6" customHeight="1" x14ac:dyDescent="0.3"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121"/>
    </row>
    <row r="27" spans="3:18" x14ac:dyDescent="0.3">
      <c r="C27" s="19"/>
      <c r="D27" s="73" t="s">
        <v>56</v>
      </c>
      <c r="E27" s="76">
        <f>E4+E5-E20</f>
        <v>0</v>
      </c>
      <c r="F27" s="76">
        <f>F4+F5-F20</f>
        <v>8265.8682104674645</v>
      </c>
      <c r="G27" s="76">
        <f>F27-G20</f>
        <v>8159.8127805439372</v>
      </c>
      <c r="H27" s="76">
        <f>G27-H20</f>
        <v>8053.7573506204099</v>
      </c>
      <c r="I27" s="76">
        <f>H27-I20</f>
        <v>7947.7019206968826</v>
      </c>
      <c r="J27" s="117">
        <f>I27-J20</f>
        <v>7841.6464907733553</v>
      </c>
      <c r="K27" s="117"/>
      <c r="L27" s="76"/>
      <c r="M27" s="76"/>
      <c r="N27" s="77"/>
    </row>
    <row r="28" spans="3:18" x14ac:dyDescent="0.3">
      <c r="D28" s="73" t="s">
        <v>71</v>
      </c>
      <c r="E28" s="76"/>
      <c r="F28" s="76"/>
      <c r="G28" s="76"/>
      <c r="H28" s="76"/>
      <c r="I28" s="76"/>
      <c r="J28" s="117">
        <f>'Crédito Comercial 12A'!K67</f>
        <v>39135.248332704017</v>
      </c>
      <c r="K28" s="156"/>
      <c r="L28" s="125"/>
      <c r="M28" s="125"/>
      <c r="N28" s="77"/>
      <c r="O28" s="121"/>
      <c r="P28" s="19"/>
      <c r="Q28" s="19"/>
    </row>
    <row r="29" spans="3:18" ht="6" customHeight="1" x14ac:dyDescent="0.3"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121"/>
    </row>
    <row r="30" spans="3:18" x14ac:dyDescent="0.3">
      <c r="D30" s="24" t="s">
        <v>73</v>
      </c>
      <c r="E30" s="25">
        <v>1500</v>
      </c>
      <c r="F30" s="25"/>
      <c r="G30" s="25">
        <v>2000</v>
      </c>
      <c r="H30" s="25">
        <v>4500</v>
      </c>
      <c r="I30" s="25">
        <v>5000</v>
      </c>
      <c r="J30" s="25"/>
      <c r="K30" s="124"/>
      <c r="L30" s="124"/>
      <c r="M30" s="124"/>
      <c r="N30" s="132">
        <f>SUM(E30:J30)</f>
        <v>13000</v>
      </c>
      <c r="O30" s="121"/>
      <c r="Q30" s="129"/>
    </row>
    <row r="31" spans="3:18" x14ac:dyDescent="0.3">
      <c r="D31" s="27" t="s">
        <v>74</v>
      </c>
      <c r="E31" s="29"/>
      <c r="F31" s="29"/>
      <c r="G31" s="29"/>
      <c r="H31" s="29"/>
      <c r="L31" s="126">
        <f>-N30</f>
        <v>-13000</v>
      </c>
      <c r="N31" s="133"/>
      <c r="O31" s="100"/>
      <c r="P31" s="128"/>
    </row>
    <row r="32" spans="3:18" x14ac:dyDescent="0.3">
      <c r="D32" s="31" t="s">
        <v>20</v>
      </c>
      <c r="E32" s="32"/>
      <c r="F32" s="32"/>
      <c r="G32" s="32"/>
      <c r="H32" s="32"/>
      <c r="I32" s="32"/>
      <c r="J32" s="127"/>
      <c r="K32" s="127"/>
      <c r="L32" s="127"/>
      <c r="M32" s="127">
        <f>-L36</f>
        <v>-10075.8941440893</v>
      </c>
      <c r="N32" s="134"/>
      <c r="O32" s="100"/>
      <c r="P32" s="128"/>
    </row>
    <row r="33" spans="2:18" x14ac:dyDescent="0.3">
      <c r="B33" s="131"/>
      <c r="D33" s="1" t="s">
        <v>98</v>
      </c>
      <c r="E33" s="99">
        <f>SUM(E30:E32)</f>
        <v>1500</v>
      </c>
      <c r="F33" s="99">
        <f t="shared" ref="F33:I33" si="9">SUM(F30:F32)</f>
        <v>0</v>
      </c>
      <c r="G33" s="99">
        <f>SUM(G30:G32)</f>
        <v>2000</v>
      </c>
      <c r="H33" s="99">
        <f t="shared" si="9"/>
        <v>4500</v>
      </c>
      <c r="I33" s="99">
        <f t="shared" si="9"/>
        <v>5000</v>
      </c>
      <c r="J33" s="99">
        <f>SUM(J30:J32)</f>
        <v>0</v>
      </c>
      <c r="K33" s="99"/>
      <c r="L33" s="99">
        <f>SUM(L30:L32)</f>
        <v>-13000</v>
      </c>
      <c r="M33" s="99">
        <f>SUM(M30:M32)</f>
        <v>-10075.8941440893</v>
      </c>
      <c r="N33" s="99">
        <f>SUM(N30:N32)</f>
        <v>13000</v>
      </c>
      <c r="O33" s="100"/>
    </row>
    <row r="34" spans="2:18" x14ac:dyDescent="0.3">
      <c r="B34" s="154"/>
      <c r="E34" s="99"/>
      <c r="F34" s="99"/>
      <c r="G34" s="99"/>
      <c r="H34" s="99"/>
      <c r="I34" s="99"/>
      <c r="J34" s="99"/>
      <c r="K34" s="99"/>
      <c r="L34" s="99"/>
      <c r="M34" s="99"/>
      <c r="N34" s="100"/>
      <c r="O34" s="122"/>
    </row>
    <row r="35" spans="2:18" x14ac:dyDescent="0.3">
      <c r="B35" s="155"/>
      <c r="C35" s="19"/>
      <c r="D35" s="36" t="s">
        <v>108</v>
      </c>
      <c r="E35" s="74">
        <f>+E25+E33</f>
        <v>370.76537013801772</v>
      </c>
      <c r="F35" s="74">
        <f>+F24+F33</f>
        <v>2913.6097831542975</v>
      </c>
      <c r="G35" s="74">
        <f>+G24+G33</f>
        <v>-2500.1965464314098</v>
      </c>
      <c r="H35" s="74">
        <f>+H24+H33</f>
        <v>-232.69654643140984</v>
      </c>
      <c r="I35" s="74">
        <f>+I24+I33</f>
        <v>-25.196546431409843</v>
      </c>
      <c r="J35" s="74">
        <f>+J24-J27-J28+J33</f>
        <v>22549.608630091214</v>
      </c>
      <c r="K35" s="74"/>
      <c r="L35" s="74">
        <f>+L24+L33-L27-L28</f>
        <v>-13000</v>
      </c>
      <c r="M35" s="74">
        <f>+M24+M33-M27-M28</f>
        <v>-10075.8941440893</v>
      </c>
      <c r="N35" s="73">
        <f>SUM(E35:M35)</f>
        <v>0</v>
      </c>
      <c r="O35" s="100"/>
      <c r="P35" s="19"/>
    </row>
    <row r="36" spans="2:18" x14ac:dyDescent="0.3">
      <c r="B36" s="131"/>
      <c r="C36" s="19"/>
      <c r="D36" s="36" t="s">
        <v>109</v>
      </c>
      <c r="E36" s="75">
        <f>+E35</f>
        <v>370.76537013801772</v>
      </c>
      <c r="F36" s="75">
        <f>+F35+E36</f>
        <v>3284.3751532923152</v>
      </c>
      <c r="G36" s="75">
        <f>+G35+F36</f>
        <v>784.17860686090535</v>
      </c>
      <c r="H36" s="75">
        <f>+H35+G36</f>
        <v>551.4820604294955</v>
      </c>
      <c r="I36" s="75">
        <f>+I35+H36</f>
        <v>526.28551399808566</v>
      </c>
      <c r="J36" s="75">
        <f>+J35+I36</f>
        <v>23075.8941440893</v>
      </c>
      <c r="K36" s="75"/>
      <c r="L36" s="75">
        <f>+L35+J36</f>
        <v>10075.8941440893</v>
      </c>
      <c r="M36" s="75">
        <f>+M35+L36</f>
        <v>0</v>
      </c>
      <c r="O36" s="120"/>
    </row>
    <row r="37" spans="2:18" x14ac:dyDescent="0.3">
      <c r="B37" s="131"/>
      <c r="C37" s="19"/>
      <c r="P37" s="19"/>
      <c r="Q37" s="19"/>
      <c r="R37" s="19"/>
    </row>
    <row r="38" spans="2:18" x14ac:dyDescent="0.3">
      <c r="D38" s="73" t="s">
        <v>110</v>
      </c>
      <c r="E38" s="76"/>
      <c r="F38" s="76"/>
      <c r="G38" s="76"/>
      <c r="H38" s="76"/>
      <c r="I38" s="76"/>
      <c r="J38" s="76"/>
      <c r="K38" s="76"/>
      <c r="L38" s="76"/>
      <c r="M38" s="87">
        <f>+J25-J27-J28</f>
        <v>10075.894144089296</v>
      </c>
      <c r="N38" s="77"/>
    </row>
    <row r="39" spans="2:18" x14ac:dyDescent="0.3">
      <c r="O39" s="121"/>
      <c r="P39" s="19"/>
    </row>
    <row r="40" spans="2:18" x14ac:dyDescent="0.3">
      <c r="D40" s="13">
        <f>IRR(E25:J25)</f>
        <v>0.69793007489270686</v>
      </c>
    </row>
    <row r="46" spans="2:18" x14ac:dyDescent="0.3">
      <c r="G46" s="97"/>
    </row>
    <row r="47" spans="2:18" x14ac:dyDescent="0.3">
      <c r="G47" s="4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7D40-3855-427C-A562-7DC9E7696F41}">
  <sheetPr>
    <tabColor rgb="FF92D050"/>
  </sheetPr>
  <dimension ref="B1:AA49"/>
  <sheetViews>
    <sheetView showGridLines="0" zoomScale="85" zoomScaleNormal="100" workbookViewId="0">
      <selection activeCell="D2" sqref="D2:N2"/>
    </sheetView>
  </sheetViews>
  <sheetFormatPr baseColWidth="10" defaultRowHeight="14.4" x14ac:dyDescent="0.3"/>
  <cols>
    <col min="1" max="1" width="3.109375" customWidth="1"/>
    <col min="2" max="2" width="6.6640625" bestFit="1" customWidth="1"/>
    <col min="3" max="3" width="1.5546875" customWidth="1"/>
    <col min="4" max="4" width="27.77734375" bestFit="1" customWidth="1"/>
    <col min="5" max="5" width="10" hidden="1" customWidth="1"/>
    <col min="6" max="7" width="10.44140625" hidden="1" customWidth="1"/>
    <col min="8" max="9" width="11.109375" hidden="1" customWidth="1"/>
    <col min="10" max="10" width="11.5546875" hidden="1" customWidth="1"/>
    <col min="11" max="11" width="6.109375" hidden="1" customWidth="1"/>
    <col min="12" max="12" width="11.109375" hidden="1" customWidth="1"/>
    <col min="13" max="13" width="11.6640625" hidden="1" customWidth="1"/>
    <col min="14" max="14" width="11.5546875" bestFit="1" customWidth="1"/>
    <col min="15" max="15" width="6.6640625" customWidth="1"/>
    <col min="16" max="16" width="27.77734375" bestFit="1" customWidth="1"/>
    <col min="17" max="17" width="16.6640625" hidden="1" customWidth="1"/>
    <col min="18" max="18" width="18" hidden="1" customWidth="1"/>
    <col min="19" max="19" width="17.21875" hidden="1" customWidth="1"/>
    <col min="20" max="25" width="11.5546875" hidden="1" customWidth="1"/>
    <col min="27" max="27" width="1.21875" customWidth="1"/>
  </cols>
  <sheetData>
    <row r="1" spans="2:27" ht="15" thickBot="1" x14ac:dyDescent="0.35"/>
    <row r="2" spans="2:27" ht="15" thickBot="1" x14ac:dyDescent="0.35">
      <c r="D2" s="274" t="s">
        <v>177</v>
      </c>
      <c r="E2" s="275"/>
      <c r="F2" s="275"/>
      <c r="G2" s="275"/>
      <c r="H2" s="275"/>
      <c r="I2" s="275"/>
      <c r="J2" s="275"/>
      <c r="K2" s="275"/>
      <c r="L2" s="275"/>
      <c r="M2" s="275"/>
      <c r="N2" s="276"/>
      <c r="P2" s="274" t="s">
        <v>130</v>
      </c>
      <c r="Q2" s="275"/>
      <c r="R2" s="275"/>
      <c r="S2" s="275"/>
      <c r="T2" s="275"/>
      <c r="U2" s="275"/>
      <c r="V2" s="275"/>
      <c r="W2" s="275"/>
      <c r="X2" s="275"/>
      <c r="Y2" s="275"/>
      <c r="Z2" s="276"/>
    </row>
    <row r="3" spans="2:27" ht="6" customHeight="1" x14ac:dyDescent="0.3"/>
    <row r="4" spans="2:27" x14ac:dyDescent="0.3">
      <c r="D4" s="36" t="s">
        <v>41</v>
      </c>
      <c r="E4" s="69" t="s">
        <v>72</v>
      </c>
      <c r="F4" s="69" t="s">
        <v>50</v>
      </c>
      <c r="G4" s="69" t="s">
        <v>51</v>
      </c>
      <c r="H4" s="69" t="s">
        <v>52</v>
      </c>
      <c r="I4" s="69" t="s">
        <v>53</v>
      </c>
      <c r="J4" s="69" t="s">
        <v>54</v>
      </c>
      <c r="K4" s="69" t="s">
        <v>125</v>
      </c>
      <c r="L4" s="123" t="s">
        <v>99</v>
      </c>
      <c r="M4" s="123" t="s">
        <v>20</v>
      </c>
      <c r="N4" s="70" t="s">
        <v>27</v>
      </c>
      <c r="O4" s="119"/>
      <c r="P4" s="36" t="s">
        <v>41</v>
      </c>
      <c r="Q4" s="69" t="s">
        <v>72</v>
      </c>
      <c r="R4" s="69" t="s">
        <v>50</v>
      </c>
      <c r="S4" s="69" t="s">
        <v>51</v>
      </c>
      <c r="T4" s="69" t="s">
        <v>52</v>
      </c>
      <c r="U4" s="69" t="s">
        <v>53</v>
      </c>
      <c r="V4" s="69" t="s">
        <v>54</v>
      </c>
      <c r="W4" s="69" t="s">
        <v>125</v>
      </c>
      <c r="X4" s="123" t="s">
        <v>99</v>
      </c>
      <c r="Y4" s="123" t="s">
        <v>20</v>
      </c>
      <c r="Z4" s="70" t="s">
        <v>27</v>
      </c>
      <c r="AA4" s="119"/>
    </row>
    <row r="5" spans="2:27" x14ac:dyDescent="0.3">
      <c r="D5" s="227" t="s">
        <v>42</v>
      </c>
      <c r="E5" s="228"/>
      <c r="F5" s="228">
        <f>'Flujo mensual'!P4</f>
        <v>2078.4688890933003</v>
      </c>
      <c r="G5" s="228">
        <f>'Flujo mensual'!$O$4*12*0.9</f>
        <v>2747.4432922270762</v>
      </c>
      <c r="H5" s="228">
        <f>'Flujo mensual'!$O$4*12*0.9</f>
        <v>2747.4432922270762</v>
      </c>
      <c r="I5" s="228">
        <f>'Flujo mensual'!$O$4*12*0.9</f>
        <v>2747.4432922270762</v>
      </c>
      <c r="J5" s="228">
        <f>'Flujo mensual'!$O$4*12*0.9</f>
        <v>2747.4432922270762</v>
      </c>
      <c r="K5" s="229"/>
      <c r="L5" s="229"/>
      <c r="M5" s="229"/>
      <c r="N5" s="230">
        <f>SUM(F5:M5)</f>
        <v>13068.242058001604</v>
      </c>
      <c r="O5" s="195"/>
      <c r="P5" s="227" t="s">
        <v>42</v>
      </c>
      <c r="Q5" s="228"/>
      <c r="R5" s="228">
        <f>'Flujo 5 años C20'!F3</f>
        <v>2078.4688890933003</v>
      </c>
      <c r="S5" s="228">
        <f>'Flujo 5 años C20'!G3</f>
        <v>2747.4432922270762</v>
      </c>
      <c r="T5" s="228">
        <f>'Flujo 5 años C20'!H3</f>
        <v>2747.4432922270762</v>
      </c>
      <c r="U5" s="228">
        <f>'Flujo 5 años C20'!I3</f>
        <v>2747.4432922270762</v>
      </c>
      <c r="V5" s="228">
        <f>'Flujo 5 años C20'!J3</f>
        <v>2747.4432922270762</v>
      </c>
      <c r="W5" s="229"/>
      <c r="X5" s="229"/>
      <c r="Y5" s="229"/>
      <c r="Z5" s="230">
        <f>SUM(R5:Y5)</f>
        <v>13068.242058001604</v>
      </c>
      <c r="AA5" s="195"/>
    </row>
    <row r="6" spans="2:27" x14ac:dyDescent="0.3">
      <c r="D6" s="196" t="s">
        <v>43</v>
      </c>
      <c r="E6" s="197"/>
      <c r="F6" s="197">
        <f>'Flujo mensual'!G5</f>
        <v>178.79548306148055</v>
      </c>
      <c r="G6" s="197">
        <v>0</v>
      </c>
      <c r="H6" s="197">
        <v>0</v>
      </c>
      <c r="I6" s="197">
        <v>0</v>
      </c>
      <c r="J6" s="197">
        <v>0</v>
      </c>
      <c r="K6" s="198"/>
      <c r="L6" s="198"/>
      <c r="M6" s="198"/>
      <c r="N6" s="199">
        <f t="shared" ref="N6:N7" si="0">SUM(F6:M6)</f>
        <v>178.79548306148055</v>
      </c>
      <c r="O6" s="195"/>
      <c r="P6" s="196" t="s">
        <v>43</v>
      </c>
      <c r="Q6" s="197"/>
      <c r="R6" s="197">
        <f>'Flujo 5 años C20'!F4</f>
        <v>178.79548306148055</v>
      </c>
      <c r="S6" s="197">
        <v>0</v>
      </c>
      <c r="T6" s="197">
        <v>0</v>
      </c>
      <c r="U6" s="197">
        <v>0</v>
      </c>
      <c r="V6" s="197">
        <v>0</v>
      </c>
      <c r="W6" s="198"/>
      <c r="X6" s="198"/>
      <c r="Y6" s="198"/>
      <c r="Z6" s="199">
        <f t="shared" ref="Z6:Z8" si="1">SUM(R6:Y6)</f>
        <v>178.79548306148055</v>
      </c>
      <c r="AA6" s="195"/>
    </row>
    <row r="7" spans="2:27" x14ac:dyDescent="0.3">
      <c r="D7" s="196" t="s">
        <v>44</v>
      </c>
      <c r="E7" s="197"/>
      <c r="F7" s="197">
        <f>'Flujo mensual'!G6</f>
        <v>8157.4413559322047</v>
      </c>
      <c r="G7" s="197">
        <v>0</v>
      </c>
      <c r="H7" s="197">
        <v>0</v>
      </c>
      <c r="I7" s="197">
        <v>0</v>
      </c>
      <c r="J7" s="197">
        <v>0</v>
      </c>
      <c r="K7" s="198"/>
      <c r="L7" s="198"/>
      <c r="M7" s="198"/>
      <c r="N7" s="199">
        <f t="shared" si="0"/>
        <v>8157.4413559322047</v>
      </c>
      <c r="O7" s="195"/>
      <c r="P7" s="196" t="s">
        <v>44</v>
      </c>
      <c r="Q7" s="197"/>
      <c r="R7" s="197">
        <f>'Flujo 5 años C20'!F5</f>
        <v>8157.4413559322047</v>
      </c>
      <c r="S7" s="197">
        <v>0</v>
      </c>
      <c r="T7" s="197">
        <v>0</v>
      </c>
      <c r="U7" s="197">
        <v>0</v>
      </c>
      <c r="V7" s="197">
        <v>0</v>
      </c>
      <c r="W7" s="198"/>
      <c r="X7" s="198"/>
      <c r="Y7" s="198"/>
      <c r="Z7" s="199">
        <f t="shared" si="1"/>
        <v>8157.4413559322047</v>
      </c>
      <c r="AA7" s="195"/>
    </row>
    <row r="8" spans="2:27" x14ac:dyDescent="0.3">
      <c r="D8" s="200" t="s">
        <v>55</v>
      </c>
      <c r="E8" s="201"/>
      <c r="F8" s="201">
        <v>0</v>
      </c>
      <c r="G8" s="201">
        <v>0</v>
      </c>
      <c r="H8" s="201">
        <v>0</v>
      </c>
      <c r="I8" s="201">
        <v>0</v>
      </c>
      <c r="J8" s="201">
        <f>'IVA Dptos'!AD23</f>
        <v>83063</v>
      </c>
      <c r="K8" s="202"/>
      <c r="L8" s="202"/>
      <c r="M8" s="202"/>
      <c r="N8" s="203">
        <f>'Flujo 5 años C12'!N6</f>
        <v>74756.7</v>
      </c>
      <c r="O8" s="195"/>
      <c r="P8" s="200" t="s">
        <v>55</v>
      </c>
      <c r="Q8" s="201"/>
      <c r="R8" s="201">
        <v>0</v>
      </c>
      <c r="S8" s="201">
        <v>0</v>
      </c>
      <c r="T8" s="201">
        <v>0</v>
      </c>
      <c r="U8" s="201">
        <v>0</v>
      </c>
      <c r="V8" s="201">
        <f>'Flujo 5 años C20'!J6</f>
        <v>74756.7</v>
      </c>
      <c r="W8" s="202"/>
      <c r="X8" s="202"/>
      <c r="Y8" s="202"/>
      <c r="Z8" s="203">
        <f t="shared" si="1"/>
        <v>74756.7</v>
      </c>
      <c r="AA8" s="195"/>
    </row>
    <row r="9" spans="2:27" x14ac:dyDescent="0.3">
      <c r="D9" s="36" t="s">
        <v>46</v>
      </c>
      <c r="E9" s="71">
        <f t="shared" ref="E9:I9" si="2">SUM(E5:E8)</f>
        <v>0</v>
      </c>
      <c r="F9" s="71">
        <f t="shared" si="2"/>
        <v>10414.705728086985</v>
      </c>
      <c r="G9" s="71">
        <f t="shared" si="2"/>
        <v>2747.4432922270762</v>
      </c>
      <c r="H9" s="71">
        <f t="shared" si="2"/>
        <v>2747.4432922270762</v>
      </c>
      <c r="I9" s="71">
        <f t="shared" si="2"/>
        <v>2747.4432922270762</v>
      </c>
      <c r="J9" s="71">
        <f>SUM(J5:J8)</f>
        <v>85810.443292227079</v>
      </c>
      <c r="K9" s="71">
        <f t="shared" ref="K9:M9" si="3">SUM(K5:K8)</f>
        <v>0</v>
      </c>
      <c r="L9" s="71">
        <f t="shared" si="3"/>
        <v>0</v>
      </c>
      <c r="M9" s="71">
        <f t="shared" si="3"/>
        <v>0</v>
      </c>
      <c r="N9" s="72">
        <f>SUM(N5:N8)</f>
        <v>96161.17889699529</v>
      </c>
      <c r="O9" s="120"/>
      <c r="P9" s="36" t="s">
        <v>46</v>
      </c>
      <c r="Q9" s="71">
        <v>0</v>
      </c>
      <c r="R9" s="71">
        <f>SUM(R5:R8)</f>
        <v>10414.705728086985</v>
      </c>
      <c r="S9" s="71">
        <f t="shared" ref="S9:V9" si="4">SUM(S5:S8)</f>
        <v>2747.4432922270762</v>
      </c>
      <c r="T9" s="71">
        <f t="shared" si="4"/>
        <v>2747.4432922270762</v>
      </c>
      <c r="U9" s="71">
        <f t="shared" si="4"/>
        <v>2747.4432922270762</v>
      </c>
      <c r="V9" s="71">
        <f t="shared" si="4"/>
        <v>77504.143292227076</v>
      </c>
      <c r="W9" s="71">
        <v>0</v>
      </c>
      <c r="X9" s="71">
        <v>0</v>
      </c>
      <c r="Y9" s="71">
        <v>0</v>
      </c>
      <c r="Z9" s="72">
        <f>SUM(Z5:Z8)</f>
        <v>96161.17889699529</v>
      </c>
      <c r="AA9" s="120"/>
    </row>
    <row r="11" spans="2:27" x14ac:dyDescent="0.3">
      <c r="B11" s="1"/>
      <c r="C11" s="1"/>
      <c r="D11" s="36" t="s">
        <v>45</v>
      </c>
      <c r="E11" s="69" t="s">
        <v>72</v>
      </c>
      <c r="F11" s="69" t="s">
        <v>50</v>
      </c>
      <c r="G11" s="69" t="s">
        <v>51</v>
      </c>
      <c r="H11" s="69" t="s">
        <v>52</v>
      </c>
      <c r="I11" s="69" t="s">
        <v>53</v>
      </c>
      <c r="J11" s="69" t="s">
        <v>54</v>
      </c>
      <c r="K11" s="69" t="s">
        <v>125</v>
      </c>
      <c r="L11" s="123"/>
      <c r="M11" s="123"/>
      <c r="N11" s="70" t="s">
        <v>27</v>
      </c>
      <c r="O11" s="119"/>
      <c r="P11" s="36" t="s">
        <v>45</v>
      </c>
      <c r="Q11" s="69" t="s">
        <v>72</v>
      </c>
      <c r="R11" s="69" t="s">
        <v>50</v>
      </c>
      <c r="S11" s="69" t="s">
        <v>51</v>
      </c>
      <c r="T11" s="69" t="s">
        <v>52</v>
      </c>
      <c r="U11" s="69" t="s">
        <v>53</v>
      </c>
      <c r="V11" s="69" t="s">
        <v>54</v>
      </c>
      <c r="W11" s="69" t="s">
        <v>125</v>
      </c>
      <c r="X11" s="123"/>
      <c r="Y11" s="123"/>
      <c r="Z11" s="70" t="s">
        <v>27</v>
      </c>
      <c r="AA11" s="119"/>
    </row>
    <row r="12" spans="2:27" x14ac:dyDescent="0.3">
      <c r="B12" s="1"/>
      <c r="C12" s="1"/>
      <c r="D12" s="204" t="s">
        <v>18</v>
      </c>
      <c r="E12" s="197">
        <f>'Flujo mensual'!C11</f>
        <v>941.02885821831865</v>
      </c>
      <c r="F12" s="197">
        <v>0</v>
      </c>
      <c r="G12" s="197">
        <v>0</v>
      </c>
      <c r="H12" s="197">
        <v>0</v>
      </c>
      <c r="I12" s="197">
        <v>0</v>
      </c>
      <c r="J12" s="197">
        <v>0</v>
      </c>
      <c r="K12" s="197"/>
      <c r="L12" s="197"/>
      <c r="M12" s="197"/>
      <c r="N12" s="205">
        <f>SUM(E12:M12)</f>
        <v>941.02885821831865</v>
      </c>
      <c r="O12" s="195"/>
      <c r="P12" s="204" t="str">
        <f>'Flujo 5 años C20'!D10</f>
        <v>Amoblado</v>
      </c>
      <c r="Q12" s="197">
        <f>'Flujo 5 años C20'!E10</f>
        <v>941.02885821831865</v>
      </c>
      <c r="R12" s="197">
        <f>'Flujo 5 años C20'!F10</f>
        <v>0</v>
      </c>
      <c r="S12" s="197">
        <f>'Flujo 5 años C20'!G10</f>
        <v>0</v>
      </c>
      <c r="T12" s="197">
        <f>'Flujo 5 años C20'!H10</f>
        <v>0</v>
      </c>
      <c r="U12" s="197">
        <f>'Flujo 5 años C20'!I10</f>
        <v>0</v>
      </c>
      <c r="V12" s="197">
        <f>'Flujo 5 años C20'!J10</f>
        <v>0</v>
      </c>
      <c r="W12" s="197">
        <f>'Flujo 5 años C20'!K10</f>
        <v>0</v>
      </c>
      <c r="X12" s="197">
        <f>'Flujo 5 años C20'!L10</f>
        <v>0</v>
      </c>
      <c r="Y12" s="197">
        <f>'Flujo 5 años C20'!M10</f>
        <v>0</v>
      </c>
      <c r="Z12" s="205">
        <f>SUM(Q12:Y12)</f>
        <v>941.02885821831865</v>
      </c>
      <c r="AA12" s="195"/>
    </row>
    <row r="13" spans="2:27" x14ac:dyDescent="0.3">
      <c r="B13" s="1"/>
      <c r="C13" s="1"/>
      <c r="D13" s="196" t="s">
        <v>19</v>
      </c>
      <c r="E13" s="197"/>
      <c r="F13" s="197">
        <f>'Flujo mensual'!$P$12</f>
        <v>30.112923462986199</v>
      </c>
      <c r="G13" s="197">
        <f>'Flujo mensual'!$P$12</f>
        <v>30.112923462986199</v>
      </c>
      <c r="H13" s="197">
        <f>'Flujo mensual'!$P$12</f>
        <v>30.112923462986199</v>
      </c>
      <c r="I13" s="197">
        <f>'Flujo mensual'!$P$12</f>
        <v>30.112923462986199</v>
      </c>
      <c r="J13" s="197">
        <f>'Flujo mensual'!$P$12</f>
        <v>30.112923462986199</v>
      </c>
      <c r="K13" s="206"/>
      <c r="L13" s="206"/>
      <c r="M13" s="206"/>
      <c r="N13" s="205">
        <f t="shared" ref="N13:N22" si="5">SUM(E13:M13)</f>
        <v>150.56461731493098</v>
      </c>
      <c r="O13" s="195"/>
      <c r="P13" s="196" t="str">
        <f>'Flujo 5 años C20'!D11</f>
        <v>Contribuciones</v>
      </c>
      <c r="Q13" s="197">
        <f>'Flujo 5 años C20'!E11</f>
        <v>0</v>
      </c>
      <c r="R13" s="197">
        <f>'Flujo 5 años C20'!F11</f>
        <v>30.112923462986199</v>
      </c>
      <c r="S13" s="197">
        <f>'Flujo 5 años C20'!G11</f>
        <v>30.112923462986199</v>
      </c>
      <c r="T13" s="197">
        <f>'Flujo 5 años C20'!H11</f>
        <v>30.112923462986199</v>
      </c>
      <c r="U13" s="197">
        <f>'Flujo 5 años C20'!I11</f>
        <v>30.112923462986199</v>
      </c>
      <c r="V13" s="197">
        <f>'Flujo 5 años C20'!J11</f>
        <v>30.112923462986199</v>
      </c>
      <c r="W13" s="206">
        <f>'Flujo 5 años C20'!K11</f>
        <v>0</v>
      </c>
      <c r="X13" s="206">
        <f>'Flujo 5 años C20'!L11</f>
        <v>0</v>
      </c>
      <c r="Y13" s="206">
        <f>'Flujo 5 años C20'!M11</f>
        <v>0</v>
      </c>
      <c r="Z13" s="205">
        <f t="shared" ref="Z13:Z23" si="6">SUM(Q13:Y13)</f>
        <v>150.56461731493098</v>
      </c>
      <c r="AA13" s="195"/>
    </row>
    <row r="14" spans="2:27" x14ac:dyDescent="0.3">
      <c r="B14" s="1"/>
      <c r="C14" s="1"/>
      <c r="D14" s="204" t="s">
        <v>95</v>
      </c>
      <c r="E14" s="197">
        <f>'Crédito Comercial 12A'!D10</f>
        <v>0</v>
      </c>
      <c r="F14" s="197"/>
      <c r="G14" s="197"/>
      <c r="H14" s="197"/>
      <c r="I14" s="197"/>
      <c r="J14" s="197"/>
      <c r="K14" s="206"/>
      <c r="L14" s="206"/>
      <c r="M14" s="206"/>
      <c r="N14" s="205">
        <f>SUM(E14:M14)</f>
        <v>0</v>
      </c>
      <c r="O14" s="195"/>
      <c r="P14" s="204" t="str">
        <f>'Flujo 5 años C20'!D12</f>
        <v>Cuota de alzaminto</v>
      </c>
      <c r="Q14" s="197">
        <f>'Flujo 5 años C20'!E12</f>
        <v>0</v>
      </c>
      <c r="R14" s="197">
        <f>'Flujo 5 años C20'!F12</f>
        <v>0</v>
      </c>
      <c r="S14" s="197">
        <f>'Flujo 5 años C20'!G12</f>
        <v>0</v>
      </c>
      <c r="T14" s="197">
        <f>'Flujo 5 años C20'!H12</f>
        <v>0</v>
      </c>
      <c r="U14" s="197">
        <f>'Flujo 5 años C20'!I12</f>
        <v>0</v>
      </c>
      <c r="V14" s="197">
        <f>'Flujo 5 años C20'!J12</f>
        <v>0</v>
      </c>
      <c r="W14" s="206">
        <f>'Flujo 5 años C20'!K12</f>
        <v>0</v>
      </c>
      <c r="X14" s="206">
        <f>'Flujo 5 años C20'!L12</f>
        <v>0</v>
      </c>
      <c r="Y14" s="206">
        <f>'Flujo 5 años C20'!M12</f>
        <v>0</v>
      </c>
      <c r="Z14" s="205">
        <f t="shared" si="6"/>
        <v>0</v>
      </c>
      <c r="AA14" s="195"/>
    </row>
    <row r="15" spans="2:27" x14ac:dyDescent="0.3">
      <c r="B15" s="1"/>
      <c r="C15" s="1"/>
      <c r="D15" s="222" t="s">
        <v>20</v>
      </c>
      <c r="E15" s="223"/>
      <c r="F15" s="223">
        <f>'Flujo mensual'!$P$13</f>
        <v>6637.6084972912658</v>
      </c>
      <c r="G15" s="223">
        <f>'Flujo mensual'!$P$13</f>
        <v>6637.6084972912658</v>
      </c>
      <c r="H15" s="223">
        <f>'Flujo mensual'!$P$13</f>
        <v>6637.6084972912658</v>
      </c>
      <c r="I15" s="223">
        <f>'Flujo mensual'!$P$13</f>
        <v>6637.6084972912658</v>
      </c>
      <c r="J15" s="223">
        <f>'Flujo mensual'!$P$13</f>
        <v>6637.6084972912658</v>
      </c>
      <c r="K15" s="224"/>
      <c r="L15" s="224"/>
      <c r="M15" s="224"/>
      <c r="N15" s="225">
        <f>SUM(E15:M15)</f>
        <v>33188.042486456332</v>
      </c>
      <c r="O15" s="195"/>
      <c r="P15" s="222" t="str">
        <f>'Flujo 5 años C20'!D13</f>
        <v>Dividendo</v>
      </c>
      <c r="Q15" s="223">
        <f>'Flujo 5 años C20'!E13</f>
        <v>0</v>
      </c>
      <c r="R15" s="223">
        <f>'Flujo 5 años C20'!F13</f>
        <v>4736.2668681501982</v>
      </c>
      <c r="S15" s="223">
        <f>'Flujo 5 años C20'!G13</f>
        <v>4736.2668681501982</v>
      </c>
      <c r="T15" s="223">
        <f>'Flujo 5 años C20'!H13</f>
        <v>4736.2668681501982</v>
      </c>
      <c r="U15" s="223">
        <f>'Flujo 5 años C20'!I13</f>
        <v>4736.2668681501982</v>
      </c>
      <c r="V15" s="223">
        <f>'Flujo 5 años C20'!J13</f>
        <v>4736.2668681501982</v>
      </c>
      <c r="W15" s="224">
        <f>'Flujo 5 años C20'!K13</f>
        <v>0</v>
      </c>
      <c r="X15" s="224">
        <f>'Flujo 5 años C20'!L13</f>
        <v>0</v>
      </c>
      <c r="Y15" s="224">
        <f>'Flujo 5 años C20'!M13</f>
        <v>0</v>
      </c>
      <c r="Z15" s="225">
        <f t="shared" si="6"/>
        <v>23681.334340750989</v>
      </c>
      <c r="AA15" s="195"/>
    </row>
    <row r="16" spans="2:27" x14ac:dyDescent="0.3">
      <c r="D16" s="196" t="s">
        <v>21</v>
      </c>
      <c r="E16" s="197">
        <f>'Flujo mensual'!P14</f>
        <v>188.20577164366375</v>
      </c>
      <c r="F16" s="197">
        <v>0</v>
      </c>
      <c r="G16" s="197">
        <v>0</v>
      </c>
      <c r="H16" s="197">
        <v>0</v>
      </c>
      <c r="I16" s="197">
        <v>0</v>
      </c>
      <c r="J16" s="197">
        <v>0</v>
      </c>
      <c r="K16" s="206"/>
      <c r="L16" s="206"/>
      <c r="M16" s="206"/>
      <c r="N16" s="205">
        <f t="shared" si="5"/>
        <v>188.20577164366375</v>
      </c>
      <c r="O16" s="195"/>
      <c r="P16" s="196" t="str">
        <f>'Flujo 5 años C20'!D14</f>
        <v>Gasto operacional</v>
      </c>
      <c r="Q16" s="197">
        <f>'Flujo 5 años C20'!E14</f>
        <v>188.20577164366375</v>
      </c>
      <c r="R16" s="197">
        <f>'Flujo 5 años C20'!F14</f>
        <v>0</v>
      </c>
      <c r="S16" s="197">
        <f>'Flujo 5 años C20'!G14</f>
        <v>0</v>
      </c>
      <c r="T16" s="197">
        <f>'Flujo 5 años C20'!H14</f>
        <v>0</v>
      </c>
      <c r="U16" s="197">
        <f>'Flujo 5 años C20'!I14</f>
        <v>0</v>
      </c>
      <c r="V16" s="197">
        <f>'Flujo 5 años C20'!J14</f>
        <v>0</v>
      </c>
      <c r="W16" s="206">
        <f>'Flujo 5 años C20'!K14</f>
        <v>0</v>
      </c>
      <c r="X16" s="206">
        <f>'Flujo 5 años C20'!L14</f>
        <v>0</v>
      </c>
      <c r="Y16" s="206">
        <f>'Flujo 5 años C20'!M14</f>
        <v>0</v>
      </c>
      <c r="Z16" s="205">
        <f t="shared" si="6"/>
        <v>188.20577164366375</v>
      </c>
      <c r="AA16" s="195"/>
    </row>
    <row r="17" spans="3:27" x14ac:dyDescent="0.3">
      <c r="D17" s="196" t="s">
        <v>22</v>
      </c>
      <c r="E17" s="197"/>
      <c r="F17" s="197">
        <f>'Flujo mensual'!P15</f>
        <v>134.60596401570629</v>
      </c>
      <c r="G17" s="197">
        <v>0</v>
      </c>
      <c r="H17" s="197">
        <v>0</v>
      </c>
      <c r="I17" s="197">
        <v>0</v>
      </c>
      <c r="J17" s="197">
        <v>0</v>
      </c>
      <c r="K17" s="206"/>
      <c r="L17" s="206"/>
      <c r="M17" s="206"/>
      <c r="N17" s="205">
        <f t="shared" si="5"/>
        <v>134.60596401570629</v>
      </c>
      <c r="O17" s="195"/>
      <c r="P17" s="196" t="str">
        <f>'Flujo 5 años C20'!D15</f>
        <v>Comisión corredor</v>
      </c>
      <c r="Q17" s="197">
        <f>'Flujo 5 años C20'!E15</f>
        <v>0</v>
      </c>
      <c r="R17" s="197">
        <f>'Flujo 5 años C20'!F15</f>
        <v>134.60596401570629</v>
      </c>
      <c r="S17" s="197">
        <f>'Flujo 5 años C20'!G15</f>
        <v>0</v>
      </c>
      <c r="T17" s="197">
        <f>'Flujo 5 años C20'!H15</f>
        <v>0</v>
      </c>
      <c r="U17" s="197">
        <f>'Flujo 5 años C20'!I15</f>
        <v>0</v>
      </c>
      <c r="V17" s="197">
        <f>'Flujo 5 años C20'!J15</f>
        <v>0</v>
      </c>
      <c r="W17" s="206">
        <f>'Flujo 5 años C20'!K15</f>
        <v>0</v>
      </c>
      <c r="X17" s="206">
        <f>'Flujo 5 años C20'!L15</f>
        <v>0</v>
      </c>
      <c r="Y17" s="206">
        <f>'Flujo 5 años C20'!M15</f>
        <v>0</v>
      </c>
      <c r="Z17" s="205">
        <f t="shared" si="6"/>
        <v>134.60596401570629</v>
      </c>
      <c r="AA17" s="195"/>
    </row>
    <row r="18" spans="3:27" x14ac:dyDescent="0.3">
      <c r="D18" s="196" t="s">
        <v>23</v>
      </c>
      <c r="E18" s="197"/>
      <c r="F18" s="197">
        <f>'Flujo mensual'!P16</f>
        <v>317.28983688833131</v>
      </c>
      <c r="G18" s="197">
        <v>0</v>
      </c>
      <c r="H18" s="197">
        <v>0</v>
      </c>
      <c r="I18" s="197">
        <v>0</v>
      </c>
      <c r="J18" s="197">
        <v>0</v>
      </c>
      <c r="K18" s="206"/>
      <c r="L18" s="206"/>
      <c r="M18" s="206"/>
      <c r="N18" s="205">
        <f t="shared" si="5"/>
        <v>317.28983688833131</v>
      </c>
      <c r="O18" s="195"/>
      <c r="P18" s="196" t="str">
        <f>'Flujo 5 años C20'!D16</f>
        <v>Gasto común</v>
      </c>
      <c r="Q18" s="197">
        <f>'Flujo 5 años C20'!E16</f>
        <v>0</v>
      </c>
      <c r="R18" s="197">
        <f>'Flujo 5 años C20'!F16</f>
        <v>317.28983688833131</v>
      </c>
      <c r="S18" s="197">
        <f>'Flujo 5 años C20'!G16</f>
        <v>0</v>
      </c>
      <c r="T18" s="197">
        <f>'Flujo 5 años C20'!H16</f>
        <v>0</v>
      </c>
      <c r="U18" s="197">
        <f>'Flujo 5 años C20'!I16</f>
        <v>0</v>
      </c>
      <c r="V18" s="197">
        <f>'Flujo 5 años C20'!J16</f>
        <v>0</v>
      </c>
      <c r="W18" s="206">
        <f>'Flujo 5 años C20'!K16</f>
        <v>0</v>
      </c>
      <c r="X18" s="206">
        <f>'Flujo 5 años C20'!L16</f>
        <v>0</v>
      </c>
      <c r="Y18" s="206">
        <f>'Flujo 5 años C20'!M16</f>
        <v>0</v>
      </c>
      <c r="Z18" s="205">
        <f t="shared" si="6"/>
        <v>317.28983688833131</v>
      </c>
      <c r="AA18" s="195"/>
    </row>
    <row r="19" spans="3:27" x14ac:dyDescent="0.3">
      <c r="D19" s="196" t="s">
        <v>24</v>
      </c>
      <c r="E19" s="197"/>
      <c r="F19" s="197">
        <f>'Flujo mensual'!P17</f>
        <v>153.2713243592176</v>
      </c>
      <c r="G19" s="197">
        <f>'Flujo mensual'!$O$17*12*0.9</f>
        <v>203.52421759174794</v>
      </c>
      <c r="H19" s="197">
        <f>'Flujo mensual'!$O$17*12*0.9</f>
        <v>203.52421759174794</v>
      </c>
      <c r="I19" s="197">
        <f>'Flujo mensual'!$O$17*12*0.9</f>
        <v>203.52421759174794</v>
      </c>
      <c r="J19" s="197">
        <f>'Flujo mensual'!$O$17*12*0.9</f>
        <v>203.52421759174794</v>
      </c>
      <c r="K19" s="206"/>
      <c r="L19" s="206"/>
      <c r="M19" s="206"/>
      <c r="N19" s="205">
        <f>SUM(E19:M19)</f>
        <v>967.36819472620948</v>
      </c>
      <c r="O19" s="195"/>
      <c r="P19" s="196" t="str">
        <f>'Flujo 5 años C20'!D17</f>
        <v>Administración</v>
      </c>
      <c r="Q19" s="197">
        <f>'Flujo 5 años C20'!E17</f>
        <v>0</v>
      </c>
      <c r="R19" s="197">
        <f>'Flujo 5 años C20'!F17</f>
        <v>153.2713243592176</v>
      </c>
      <c r="S19" s="197">
        <f>'Flujo 5 años C20'!G17</f>
        <v>203.52421759174794</v>
      </c>
      <c r="T19" s="197">
        <f>'Flujo 5 años C20'!H17</f>
        <v>203.52421759174794</v>
      </c>
      <c r="U19" s="197">
        <f>'Flujo 5 años C20'!I17</f>
        <v>203.52421759174794</v>
      </c>
      <c r="V19" s="197">
        <f>'Flujo 5 años C20'!J17</f>
        <v>203.52421759174794</v>
      </c>
      <c r="W19" s="206">
        <f>'Flujo 5 años C20'!K17</f>
        <v>0</v>
      </c>
      <c r="X19" s="206">
        <f>'Flujo 5 años C20'!L17</f>
        <v>0</v>
      </c>
      <c r="Y19" s="206">
        <f>'Flujo 5 años C20'!M17</f>
        <v>0</v>
      </c>
      <c r="Z19" s="205">
        <f t="shared" si="6"/>
        <v>967.36819472620948</v>
      </c>
      <c r="AA19" s="195"/>
    </row>
    <row r="20" spans="3:27" x14ac:dyDescent="0.3">
      <c r="D20" s="196" t="s">
        <v>65</v>
      </c>
      <c r="E20" s="197"/>
      <c r="F20" s="197">
        <f>'Flujo mensual'!$P$19</f>
        <v>90.338770388958594</v>
      </c>
      <c r="G20" s="197">
        <f>'Flujo mensual'!$P$19</f>
        <v>90.338770388958594</v>
      </c>
      <c r="H20" s="197">
        <f>'Flujo mensual'!$P$19</f>
        <v>90.338770388958594</v>
      </c>
      <c r="I20" s="197">
        <f>'Flujo mensual'!$P$19</f>
        <v>90.338770388958594</v>
      </c>
      <c r="J20" s="197">
        <f>'Flujo mensual'!$P$19</f>
        <v>90.338770388958594</v>
      </c>
      <c r="K20" s="206"/>
      <c r="L20" s="206"/>
      <c r="M20" s="206"/>
      <c r="N20" s="205">
        <f>SUM(E20:M20)</f>
        <v>451.69385194479298</v>
      </c>
      <c r="O20" s="195"/>
      <c r="P20" s="196" t="str">
        <f>'Flujo 5 años C20'!D18</f>
        <v>Imprevistos</v>
      </c>
      <c r="Q20" s="197">
        <f>'Flujo 5 años C20'!E18</f>
        <v>0</v>
      </c>
      <c r="R20" s="197">
        <f>'Flujo 5 años C20'!F18</f>
        <v>90.338770388958594</v>
      </c>
      <c r="S20" s="197">
        <f>'Flujo 5 años C20'!G18</f>
        <v>90.338770388958594</v>
      </c>
      <c r="T20" s="197">
        <f>'Flujo 5 años C20'!H18</f>
        <v>90.338770388958594</v>
      </c>
      <c r="U20" s="197">
        <f>'Flujo 5 años C20'!I18</f>
        <v>90.338770388958594</v>
      </c>
      <c r="V20" s="197">
        <f>'Flujo 5 años C20'!J18</f>
        <v>90.338770388958594</v>
      </c>
      <c r="W20" s="206">
        <f>'Flujo 5 años C20'!K18</f>
        <v>0</v>
      </c>
      <c r="X20" s="206">
        <f>'Flujo 5 años C20'!L18</f>
        <v>0</v>
      </c>
      <c r="Y20" s="206">
        <f>'Flujo 5 años C20'!M18</f>
        <v>0</v>
      </c>
      <c r="Z20" s="205">
        <f t="shared" si="6"/>
        <v>451.69385194479298</v>
      </c>
      <c r="AA20" s="195"/>
    </row>
    <row r="21" spans="3:27" x14ac:dyDescent="0.3">
      <c r="D21" s="196" t="s">
        <v>100</v>
      </c>
      <c r="E21" s="197"/>
      <c r="F21" s="197">
        <f>'Crédito C12'!O9</f>
        <v>67.5</v>
      </c>
      <c r="G21" s="197">
        <f>'Crédito C12'!AA9</f>
        <v>180</v>
      </c>
      <c r="H21" s="197">
        <f>'Crédito C12'!AM9</f>
        <v>412.5</v>
      </c>
      <c r="I21" s="197">
        <f>'Crédito C12'!AY9</f>
        <v>705</v>
      </c>
      <c r="J21" s="197">
        <f>'Crédito C12'!BK9</f>
        <v>910</v>
      </c>
      <c r="K21" s="206"/>
      <c r="L21" s="206"/>
      <c r="M21" s="206"/>
      <c r="N21" s="205">
        <f>SUM(E21:M21)</f>
        <v>2275</v>
      </c>
      <c r="O21" s="195"/>
      <c r="P21" s="196" t="str">
        <f>'Flujo 5 años C20'!D19</f>
        <v>Costo Financiero Cred. 1</v>
      </c>
      <c r="Q21" s="197">
        <f>'Flujo 5 años C20'!E19</f>
        <v>0</v>
      </c>
      <c r="R21" s="197">
        <f>'Flujo 5 años C20'!F19</f>
        <v>67.5</v>
      </c>
      <c r="S21" s="197">
        <f>'Flujo 5 años C20'!G19</f>
        <v>90</v>
      </c>
      <c r="T21" s="197">
        <f>'Flujo 5 años C20'!H19</f>
        <v>135</v>
      </c>
      <c r="U21" s="197">
        <f>'Flujo 5 años C20'!I19</f>
        <v>240</v>
      </c>
      <c r="V21" s="197">
        <f>'Flujo 5 años C20'!J19</f>
        <v>315</v>
      </c>
      <c r="W21" s="206">
        <f>'Flujo 5 años C20'!K19</f>
        <v>0</v>
      </c>
      <c r="X21" s="206">
        <f>'Flujo 5 años C20'!L19</f>
        <v>0</v>
      </c>
      <c r="Y21" s="206">
        <f>'Flujo 5 años C20'!M19</f>
        <v>0</v>
      </c>
      <c r="Z21" s="205">
        <f t="shared" si="6"/>
        <v>847.5</v>
      </c>
      <c r="AA21" s="195"/>
    </row>
    <row r="22" spans="3:27" x14ac:dyDescent="0.3">
      <c r="D22" s="196" t="s">
        <v>25</v>
      </c>
      <c r="E22" s="197"/>
      <c r="F22" s="197">
        <f>'Flujo mensual'!P20</f>
        <v>70.368628526221457</v>
      </c>
      <c r="G22" s="197">
        <f>'Flujo mensual'!$O$20*12</f>
        <v>106.05542992352727</v>
      </c>
      <c r="H22" s="197">
        <f>'Flujo mensual'!$O$20*12</f>
        <v>106.05542992352727</v>
      </c>
      <c r="I22" s="197">
        <f>'Flujo mensual'!$O$20*12</f>
        <v>106.05542992352727</v>
      </c>
      <c r="J22" s="197">
        <f>'Flujo mensual'!$O$20*12</f>
        <v>106.05542992352727</v>
      </c>
      <c r="K22" s="206"/>
      <c r="L22" s="206"/>
      <c r="M22" s="206"/>
      <c r="N22" s="205">
        <f t="shared" si="5"/>
        <v>494.59034822033061</v>
      </c>
      <c r="O22" s="195"/>
      <c r="P22" s="196" t="str">
        <f>'Flujo 5 años C20'!D20</f>
        <v>IVA</v>
      </c>
      <c r="Q22" s="197">
        <f>'Flujo 5 años C20'!E20</f>
        <v>0</v>
      </c>
      <c r="R22" s="197">
        <f>'Flujo 5 años C20'!F20</f>
        <v>70.368628526221457</v>
      </c>
      <c r="S22" s="197">
        <f>'Flujo 5 años C20'!G20</f>
        <v>106.05542992352727</v>
      </c>
      <c r="T22" s="197">
        <f>'Flujo 5 años C20'!H20</f>
        <v>106.05542992352727</v>
      </c>
      <c r="U22" s="197">
        <f>'Flujo 5 años C20'!I20</f>
        <v>106.05542992352727</v>
      </c>
      <c r="V22" s="197">
        <f>'Flujo 5 años C20'!J20</f>
        <v>106.05542992352727</v>
      </c>
      <c r="W22" s="206">
        <f>'Flujo 5 años C20'!K20</f>
        <v>0</v>
      </c>
      <c r="X22" s="206">
        <f>'Flujo 5 años C20'!L20</f>
        <v>0</v>
      </c>
      <c r="Y22" s="206">
        <f>'Flujo 5 años C20'!M20</f>
        <v>0</v>
      </c>
      <c r="Z22" s="205">
        <f t="shared" si="6"/>
        <v>494.59034822033061</v>
      </c>
      <c r="AA22" s="195"/>
    </row>
    <row r="23" spans="3:27" x14ac:dyDescent="0.3">
      <c r="D23" s="207" t="s">
        <v>139</v>
      </c>
      <c r="E23" s="208"/>
      <c r="F23" s="208"/>
      <c r="G23" s="208"/>
      <c r="H23" s="208"/>
      <c r="I23" s="208"/>
      <c r="J23" s="208"/>
      <c r="K23" s="209">
        <v>0</v>
      </c>
      <c r="L23" s="209"/>
      <c r="M23" s="209"/>
      <c r="N23" s="210"/>
      <c r="O23" s="195"/>
      <c r="P23" s="207" t="s">
        <v>140</v>
      </c>
      <c r="Q23" s="208"/>
      <c r="R23" s="208"/>
      <c r="S23" s="208"/>
      <c r="T23" s="208"/>
      <c r="U23" s="208"/>
      <c r="V23" s="208"/>
      <c r="W23" s="209">
        <v>0</v>
      </c>
      <c r="X23" s="209"/>
      <c r="Y23" s="209"/>
      <c r="Z23" s="210">
        <f t="shared" si="6"/>
        <v>0</v>
      </c>
      <c r="AA23" s="195"/>
    </row>
    <row r="24" spans="3:27" x14ac:dyDescent="0.3">
      <c r="D24" s="80" t="s">
        <v>47</v>
      </c>
      <c r="E24" s="81">
        <f>SUM(E12:E23)</f>
        <v>1129.2346298619823</v>
      </c>
      <c r="F24" s="81">
        <f t="shared" ref="F24:K24" si="7">SUM(F12:F23)</f>
        <v>7501.0959449326874</v>
      </c>
      <c r="G24" s="81">
        <f t="shared" si="7"/>
        <v>7247.639838658486</v>
      </c>
      <c r="H24" s="81">
        <f t="shared" si="7"/>
        <v>7480.139838658486</v>
      </c>
      <c r="I24" s="81">
        <f t="shared" si="7"/>
        <v>7772.639838658486</v>
      </c>
      <c r="J24" s="81">
        <f t="shared" si="7"/>
        <v>7977.639838658486</v>
      </c>
      <c r="K24" s="81">
        <f t="shared" si="7"/>
        <v>0</v>
      </c>
      <c r="L24" s="81">
        <f t="shared" ref="L24:M24" si="8">SUM(L12:L22)</f>
        <v>0</v>
      </c>
      <c r="M24" s="81">
        <f t="shared" si="8"/>
        <v>0</v>
      </c>
      <c r="N24" s="82">
        <f>SUM(N12:N22)</f>
        <v>39108.389929428609</v>
      </c>
      <c r="O24" s="100"/>
      <c r="P24" s="80" t="s">
        <v>47</v>
      </c>
      <c r="Q24" s="81">
        <f>SUM(Q12:Q23)</f>
        <v>1129.2346298619823</v>
      </c>
      <c r="R24" s="81">
        <f t="shared" ref="R24:Y24" si="9">SUM(R12:R23)</f>
        <v>5599.7543157916198</v>
      </c>
      <c r="S24" s="81">
        <f t="shared" si="9"/>
        <v>5256.2982095174184</v>
      </c>
      <c r="T24" s="81">
        <f t="shared" si="9"/>
        <v>5301.2982095174184</v>
      </c>
      <c r="U24" s="81">
        <f t="shared" si="9"/>
        <v>5406.2982095174184</v>
      </c>
      <c r="V24" s="81">
        <f t="shared" si="9"/>
        <v>5481.2982095174184</v>
      </c>
      <c r="W24" s="81">
        <f t="shared" si="9"/>
        <v>0</v>
      </c>
      <c r="X24" s="81">
        <f t="shared" si="9"/>
        <v>0</v>
      </c>
      <c r="Y24" s="81">
        <f t="shared" si="9"/>
        <v>0</v>
      </c>
      <c r="Z24" s="82">
        <f>SUM(Z12:Z23)</f>
        <v>28174.181783723277</v>
      </c>
      <c r="AA24" s="100"/>
    </row>
    <row r="25" spans="3:27" ht="6" customHeight="1" x14ac:dyDescent="0.3"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121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121"/>
    </row>
    <row r="26" spans="3:27" ht="16.2" thickBot="1" x14ac:dyDescent="0.35">
      <c r="D26" s="189" t="s">
        <v>142</v>
      </c>
      <c r="E26" s="190">
        <f t="shared" ref="E26:J26" si="10">E9-E24</f>
        <v>-1129.2346298619823</v>
      </c>
      <c r="F26" s="190">
        <f t="shared" si="10"/>
        <v>2913.6097831542975</v>
      </c>
      <c r="G26" s="190">
        <f t="shared" si="10"/>
        <v>-4500.1965464314098</v>
      </c>
      <c r="H26" s="190">
        <f t="shared" si="10"/>
        <v>-4732.6965464314098</v>
      </c>
      <c r="I26" s="190">
        <f t="shared" si="10"/>
        <v>-5025.1965464314098</v>
      </c>
      <c r="J26" s="190">
        <f t="shared" si="10"/>
        <v>77832.803453568587</v>
      </c>
      <c r="K26" s="190"/>
      <c r="L26" s="190">
        <f t="shared" ref="L26:M26" si="11">L9-L24</f>
        <v>0</v>
      </c>
      <c r="M26" s="190">
        <f t="shared" si="11"/>
        <v>0</v>
      </c>
      <c r="N26" s="191">
        <f>N9-N24</f>
        <v>57052.788967566681</v>
      </c>
      <c r="P26" s="189" t="s">
        <v>142</v>
      </c>
      <c r="Q26" s="190">
        <f>Q9-Q24</f>
        <v>-1129.2346298619823</v>
      </c>
      <c r="R26" s="190">
        <f t="shared" ref="R26:V26" si="12">R9-R24</f>
        <v>4814.9514122953651</v>
      </c>
      <c r="S26" s="190">
        <f t="shared" si="12"/>
        <v>-2508.8549172903422</v>
      </c>
      <c r="T26" s="190">
        <f t="shared" si="12"/>
        <v>-2553.8549172903422</v>
      </c>
      <c r="U26" s="190">
        <f t="shared" si="12"/>
        <v>-2658.8549172903422</v>
      </c>
      <c r="V26" s="190">
        <f t="shared" si="12"/>
        <v>72022.845082709653</v>
      </c>
      <c r="W26" s="190"/>
      <c r="X26" s="190">
        <f t="shared" ref="X26:Y26" si="13">X9-X24</f>
        <v>0</v>
      </c>
      <c r="Y26" s="190">
        <f t="shared" si="13"/>
        <v>0</v>
      </c>
      <c r="Z26" s="191">
        <f>SUM(Q26:Y26)</f>
        <v>67986.997113272009</v>
      </c>
    </row>
    <row r="27" spans="3:27" hidden="1" x14ac:dyDescent="0.3">
      <c r="D27" s="80" t="s">
        <v>49</v>
      </c>
      <c r="E27" s="81">
        <f>E26</f>
        <v>-1129.2346298619823</v>
      </c>
      <c r="F27" s="81">
        <f>E27+F26</f>
        <v>1784.3751532923152</v>
      </c>
      <c r="G27" s="81">
        <f>F27+G26</f>
        <v>-2715.8213931390947</v>
      </c>
      <c r="H27" s="81">
        <f>G27+H26</f>
        <v>-7448.5179395705045</v>
      </c>
      <c r="I27" s="81">
        <f>H27+I26</f>
        <v>-12473.714486001914</v>
      </c>
      <c r="J27" s="81">
        <f>I27+J26</f>
        <v>65359.088967566669</v>
      </c>
      <c r="K27" s="81"/>
      <c r="L27" s="81"/>
      <c r="M27" s="81"/>
      <c r="O27" s="120"/>
      <c r="P27" s="36" t="s">
        <v>49</v>
      </c>
      <c r="Q27" s="75">
        <v>-755.66750629722924</v>
      </c>
      <c r="R27" s="75">
        <v>3013.0706735682379</v>
      </c>
      <c r="S27" s="75">
        <v>1099.4289598549994</v>
      </c>
      <c r="T27" s="75">
        <v>-859.21275385823901</v>
      </c>
      <c r="U27" s="75">
        <v>-2877.8544675714775</v>
      </c>
      <c r="V27" s="75">
        <v>47741.803818715285</v>
      </c>
      <c r="W27" s="75"/>
      <c r="X27" s="75"/>
      <c r="Y27" s="75"/>
      <c r="AA27" s="120"/>
    </row>
    <row r="28" spans="3:27" ht="6" customHeight="1" x14ac:dyDescent="0.3"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121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121"/>
    </row>
    <row r="29" spans="3:27" x14ac:dyDescent="0.3">
      <c r="C29" s="19"/>
      <c r="D29" s="73" t="s">
        <v>56</v>
      </c>
      <c r="E29" s="76">
        <f>E6+E7-E22</f>
        <v>0</v>
      </c>
      <c r="F29" s="76">
        <f>F6+F7-F22</f>
        <v>8265.8682104674645</v>
      </c>
      <c r="G29" s="76">
        <f>F29-G22</f>
        <v>8159.8127805439372</v>
      </c>
      <c r="H29" s="76">
        <f>G29-H22</f>
        <v>8053.7573506204099</v>
      </c>
      <c r="I29" s="76">
        <f>H29-I22</f>
        <v>7947.7019206968826</v>
      </c>
      <c r="K29" s="117"/>
      <c r="L29" s="76"/>
      <c r="M29" s="76"/>
      <c r="N29" s="221">
        <f>I29-J22</f>
        <v>7841.6464907733553</v>
      </c>
      <c r="P29" s="73" t="s">
        <v>56</v>
      </c>
      <c r="Q29" s="76">
        <f>Q6+Q7-Q22</f>
        <v>0</v>
      </c>
      <c r="R29" s="76">
        <f>R6+R7-R22</f>
        <v>8265.8682104674645</v>
      </c>
      <c r="S29" s="76">
        <f>R29-S22</f>
        <v>8159.8127805439372</v>
      </c>
      <c r="T29" s="76">
        <f>S29-T22</f>
        <v>8053.7573506204099</v>
      </c>
      <c r="U29" s="76">
        <f>T29-U22</f>
        <v>7947.7019206968826</v>
      </c>
      <c r="W29" s="117"/>
      <c r="X29" s="76"/>
      <c r="Y29" s="76"/>
      <c r="Z29" s="221">
        <f>U29-V22</f>
        <v>7841.6464907733553</v>
      </c>
    </row>
    <row r="30" spans="3:27" x14ac:dyDescent="0.3">
      <c r="D30" s="73" t="s">
        <v>71</v>
      </c>
      <c r="E30" s="76"/>
      <c r="F30" s="76"/>
      <c r="G30" s="76"/>
      <c r="H30" s="76"/>
      <c r="I30" s="76"/>
      <c r="K30" s="156"/>
      <c r="L30" s="125"/>
      <c r="M30" s="125"/>
      <c r="N30" s="226">
        <f>'Crédito Comercial 12A'!K67</f>
        <v>39135.248332704017</v>
      </c>
      <c r="O30" s="121"/>
      <c r="P30" s="73" t="s">
        <v>71</v>
      </c>
      <c r="Q30" s="76"/>
      <c r="R30" s="76"/>
      <c r="S30" s="76"/>
      <c r="T30" s="76"/>
      <c r="U30" s="76"/>
      <c r="W30" s="156"/>
      <c r="X30" s="125"/>
      <c r="Y30" s="125"/>
      <c r="Z30" s="226">
        <f>'Crédito Comercial 20A'!K67</f>
        <v>49910.481361046586</v>
      </c>
      <c r="AA30" s="121"/>
    </row>
    <row r="31" spans="3:27" ht="6" customHeight="1" x14ac:dyDescent="0.3"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121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121"/>
    </row>
    <row r="32" spans="3:27" x14ac:dyDescent="0.3">
      <c r="D32" s="192" t="s">
        <v>73</v>
      </c>
      <c r="E32" s="193">
        <v>1000</v>
      </c>
      <c r="F32" s="193"/>
      <c r="G32" s="193">
        <v>3000</v>
      </c>
      <c r="H32" s="193">
        <v>4500</v>
      </c>
      <c r="I32" s="193">
        <v>4500</v>
      </c>
      <c r="J32" s="193"/>
      <c r="K32" s="194"/>
      <c r="L32" s="194"/>
      <c r="M32" s="194"/>
      <c r="N32" s="211">
        <f>SUM(E32:J32)</f>
        <v>13000</v>
      </c>
      <c r="O32" s="212"/>
      <c r="P32" s="192" t="s">
        <v>73</v>
      </c>
      <c r="Q32" s="193">
        <f>'Flujo 5 años C20'!E30</f>
        <v>1500</v>
      </c>
      <c r="R32" s="193">
        <f>'Flujo 5 años C20'!F30</f>
        <v>0</v>
      </c>
      <c r="S32" s="193">
        <f>'Flujo 5 años C20'!G30</f>
        <v>0</v>
      </c>
      <c r="T32" s="193">
        <f>'Flujo 5 años C20'!H30</f>
        <v>1000</v>
      </c>
      <c r="U32" s="193">
        <f>'Flujo 5 años C20'!I30</f>
        <v>2000</v>
      </c>
      <c r="V32" s="193">
        <f>'Flujo 5 años C20'!J30</f>
        <v>0</v>
      </c>
      <c r="W32" s="193">
        <f>'Flujo 5 años C20'!K30</f>
        <v>0</v>
      </c>
      <c r="X32" s="193">
        <f>'Flujo 5 años C20'!L30</f>
        <v>0</v>
      </c>
      <c r="Y32" s="193">
        <f>'Flujo 5 años C20'!M30</f>
        <v>0</v>
      </c>
      <c r="Z32" s="211">
        <f>SUM(Q32:Y32)</f>
        <v>4500</v>
      </c>
      <c r="AA32" s="212"/>
    </row>
    <row r="33" spans="2:27" x14ac:dyDescent="0.3">
      <c r="D33" s="200" t="s">
        <v>74</v>
      </c>
      <c r="E33" s="201"/>
      <c r="F33" s="201"/>
      <c r="G33" s="201"/>
      <c r="H33" s="201"/>
      <c r="I33" s="213"/>
      <c r="J33" s="213"/>
      <c r="K33" s="213"/>
      <c r="L33" s="214">
        <f>-N32</f>
        <v>-13000</v>
      </c>
      <c r="M33" s="213"/>
      <c r="N33" s="215">
        <f>-N32</f>
        <v>-13000</v>
      </c>
      <c r="O33" s="195"/>
      <c r="P33" s="200" t="s">
        <v>74</v>
      </c>
      <c r="Q33" s="193">
        <f>'Flujo 5 años C20'!E31</f>
        <v>0</v>
      </c>
      <c r="R33" s="193">
        <f>'Flujo 5 años C20'!F31</f>
        <v>0</v>
      </c>
      <c r="S33" s="193">
        <f>'Flujo 5 años C20'!G31</f>
        <v>0</v>
      </c>
      <c r="T33" s="193">
        <f>'Flujo 5 años C20'!H31</f>
        <v>0</v>
      </c>
      <c r="U33" s="193">
        <f>'Flujo 5 años C20'!I31</f>
        <v>0</v>
      </c>
      <c r="V33" s="193">
        <f>'Flujo 5 años C20'!J31</f>
        <v>0</v>
      </c>
      <c r="W33" s="193">
        <f>'Flujo 5 años C20'!K31</f>
        <v>0</v>
      </c>
      <c r="X33" s="193">
        <f>'Flujo 5 años C20'!L31</f>
        <v>-4500</v>
      </c>
      <c r="Y33" s="193">
        <f>'Flujo 5 años C20'!M31</f>
        <v>0</v>
      </c>
      <c r="Z33" s="215">
        <f>SUM(Q33:Y33)</f>
        <v>-4500</v>
      </c>
      <c r="AA33" s="195"/>
    </row>
    <row r="34" spans="2:27" hidden="1" x14ac:dyDescent="0.3">
      <c r="D34" s="185" t="s">
        <v>20</v>
      </c>
      <c r="E34" s="186"/>
      <c r="F34" s="186"/>
      <c r="G34" s="186"/>
      <c r="H34" s="186"/>
      <c r="I34" s="186"/>
      <c r="J34" s="187"/>
      <c r="K34" s="187"/>
      <c r="L34" s="187"/>
      <c r="M34" s="187">
        <f>-L38</f>
        <v>-18382.194144089295</v>
      </c>
      <c r="N34" s="188"/>
      <c r="O34" s="100"/>
      <c r="P34" s="185" t="s">
        <v>20</v>
      </c>
      <c r="Q34" s="186"/>
      <c r="R34" s="186"/>
      <c r="S34" s="186"/>
      <c r="T34" s="186"/>
      <c r="U34" s="186"/>
      <c r="V34" s="187"/>
      <c r="W34" s="187"/>
      <c r="X34" s="187"/>
      <c r="Y34" s="187">
        <v>-5386.4309427168882</v>
      </c>
      <c r="Z34" s="188"/>
      <c r="AA34" s="100"/>
    </row>
    <row r="35" spans="2:27" hidden="1" x14ac:dyDescent="0.3">
      <c r="B35" s="131"/>
      <c r="D35" s="1" t="s">
        <v>98</v>
      </c>
      <c r="E35" s="99">
        <f>SUM(E32:E34)</f>
        <v>1000</v>
      </c>
      <c r="F35" s="99">
        <f t="shared" ref="F35:I35" si="14">SUM(F32:F34)</f>
        <v>0</v>
      </c>
      <c r="G35" s="99">
        <f>SUM(G32:G34)</f>
        <v>3000</v>
      </c>
      <c r="H35" s="99">
        <f t="shared" si="14"/>
        <v>4500</v>
      </c>
      <c r="I35" s="99">
        <f t="shared" si="14"/>
        <v>4500</v>
      </c>
      <c r="J35" s="99">
        <f>SUM(J32:J34)</f>
        <v>0</v>
      </c>
      <c r="K35" s="99"/>
      <c r="L35" s="99">
        <f>SUM(L32:L34)</f>
        <v>-13000</v>
      </c>
      <c r="M35" s="99">
        <f>SUM(M32:M34)</f>
        <v>-18382.194144089295</v>
      </c>
      <c r="N35" s="99">
        <f>SUM(N32:N34)</f>
        <v>0</v>
      </c>
      <c r="O35" s="100"/>
      <c r="P35" s="1" t="s">
        <v>98</v>
      </c>
      <c r="Q35" s="99">
        <v>1000</v>
      </c>
      <c r="R35" s="99">
        <v>0</v>
      </c>
      <c r="S35" s="99">
        <v>0</v>
      </c>
      <c r="T35" s="99">
        <v>1000</v>
      </c>
      <c r="U35" s="99">
        <v>1000</v>
      </c>
      <c r="V35" s="99">
        <v>0</v>
      </c>
      <c r="W35" s="99"/>
      <c r="X35" s="99">
        <v>-3000</v>
      </c>
      <c r="Y35" s="99">
        <v>-5386.4309427168882</v>
      </c>
      <c r="Z35" s="99">
        <v>3000</v>
      </c>
      <c r="AA35" s="100"/>
    </row>
    <row r="36" spans="2:27" hidden="1" x14ac:dyDescent="0.3">
      <c r="B36" s="154"/>
      <c r="E36" s="99"/>
      <c r="F36" s="99"/>
      <c r="G36" s="99"/>
      <c r="H36" s="99"/>
      <c r="I36" s="99"/>
      <c r="J36" s="99"/>
      <c r="K36" s="99"/>
      <c r="L36" s="99"/>
      <c r="M36" s="99"/>
      <c r="N36" s="100"/>
      <c r="O36" s="122"/>
      <c r="Q36" s="99"/>
      <c r="R36" s="99"/>
      <c r="S36" s="99"/>
      <c r="T36" s="99"/>
      <c r="U36" s="99"/>
      <c r="V36" s="99"/>
      <c r="W36" s="99"/>
      <c r="X36" s="99"/>
      <c r="Y36" s="99"/>
      <c r="Z36" s="100"/>
      <c r="AA36" s="122"/>
    </row>
    <row r="37" spans="2:27" hidden="1" x14ac:dyDescent="0.3">
      <c r="B37" s="155"/>
      <c r="C37" s="19"/>
      <c r="D37" s="36" t="s">
        <v>108</v>
      </c>
      <c r="E37" s="74">
        <f>+E27+E35</f>
        <v>-129.23462986198228</v>
      </c>
      <c r="F37" s="74">
        <f>+F26+F35</f>
        <v>2913.6097831542975</v>
      </c>
      <c r="G37" s="74">
        <f>+G26+G35</f>
        <v>-1500.1965464314098</v>
      </c>
      <c r="H37" s="74">
        <f>+H26+H35</f>
        <v>-232.69654643140984</v>
      </c>
      <c r="I37" s="74">
        <f>+I26+I35</f>
        <v>-525.19654643140984</v>
      </c>
      <c r="J37" s="74">
        <f>+J26-N29-N30+J35</f>
        <v>30855.908630091209</v>
      </c>
      <c r="K37" s="74"/>
      <c r="L37" s="74">
        <f>+L26+L35-L29-L30</f>
        <v>-13000</v>
      </c>
      <c r="M37" s="74">
        <f>+M26+M35-M29-M30</f>
        <v>-18382.194144089295</v>
      </c>
      <c r="N37" s="73">
        <f>SUM(E37:M37)</f>
        <v>0</v>
      </c>
      <c r="O37" s="100"/>
      <c r="P37" s="36" t="s">
        <v>108</v>
      </c>
      <c r="Q37" s="74">
        <v>244.33249370277076</v>
      </c>
      <c r="R37" s="74">
        <v>3768.7381798654674</v>
      </c>
      <c r="S37" s="74">
        <v>-1913.6417137132385</v>
      </c>
      <c r="T37" s="74">
        <v>-958.64171371323846</v>
      </c>
      <c r="U37" s="74">
        <v>-1018.6417137132385</v>
      </c>
      <c r="V37" s="74">
        <v>8264.2854102883648</v>
      </c>
      <c r="W37" s="74"/>
      <c r="X37" s="74">
        <v>-3000</v>
      </c>
      <c r="Y37" s="74">
        <v>-5386.4309427168882</v>
      </c>
      <c r="Z37" s="73">
        <v>0</v>
      </c>
      <c r="AA37" s="100"/>
    </row>
    <row r="38" spans="2:27" hidden="1" x14ac:dyDescent="0.3">
      <c r="B38" s="131"/>
      <c r="C38" s="19"/>
      <c r="D38" s="36" t="s">
        <v>109</v>
      </c>
      <c r="E38" s="75">
        <f>+E37</f>
        <v>-129.23462986198228</v>
      </c>
      <c r="F38" s="75">
        <f>+F37+E38</f>
        <v>2784.3751532923152</v>
      </c>
      <c r="G38" s="75">
        <f>+G37+F38</f>
        <v>1284.1786068609053</v>
      </c>
      <c r="H38" s="75">
        <f>+H37+G38</f>
        <v>1051.4820604294955</v>
      </c>
      <c r="I38" s="75">
        <f>+I37+H38</f>
        <v>526.28551399808566</v>
      </c>
      <c r="J38" s="75">
        <f>+J37+I38</f>
        <v>31382.194144089295</v>
      </c>
      <c r="K38" s="75"/>
      <c r="L38" s="75">
        <f>+L37+J38</f>
        <v>18382.194144089295</v>
      </c>
      <c r="M38" s="75">
        <f>+M37+L38</f>
        <v>0</v>
      </c>
      <c r="O38" s="120"/>
      <c r="P38" s="36" t="s">
        <v>109</v>
      </c>
      <c r="Q38" s="75">
        <v>244.33249370277076</v>
      </c>
      <c r="R38" s="75">
        <v>4013.0706735682379</v>
      </c>
      <c r="S38" s="75">
        <v>2099.4289598549994</v>
      </c>
      <c r="T38" s="75">
        <v>1140.787246141761</v>
      </c>
      <c r="U38" s="75">
        <v>122.14553242852253</v>
      </c>
      <c r="V38" s="75">
        <v>8386.4309427168882</v>
      </c>
      <c r="W38" s="75"/>
      <c r="X38" s="75">
        <v>5386.4309427168882</v>
      </c>
      <c r="Y38" s="75">
        <v>0</v>
      </c>
      <c r="AA38" s="120"/>
    </row>
    <row r="39" spans="2:27" ht="6.6" customHeight="1" x14ac:dyDescent="0.3">
      <c r="B39" s="131"/>
      <c r="C39" s="19"/>
    </row>
    <row r="40" spans="2:27" ht="16.2" thickBot="1" x14ac:dyDescent="0.35">
      <c r="D40" s="216" t="s">
        <v>110</v>
      </c>
      <c r="E40" s="217"/>
      <c r="F40" s="217"/>
      <c r="G40" s="217"/>
      <c r="H40" s="217"/>
      <c r="I40" s="217"/>
      <c r="J40" s="217"/>
      <c r="K40" s="217"/>
      <c r="L40" s="217"/>
      <c r="M40" s="217">
        <f>+J27-N29-N30</f>
        <v>18382.194144089299</v>
      </c>
      <c r="N40" s="191">
        <f>N26-N29-N30</f>
        <v>10075.89414408931</v>
      </c>
      <c r="O40" s="218"/>
      <c r="P40" s="216" t="s">
        <v>110</v>
      </c>
      <c r="Q40" s="193">
        <f>'Flujo 5 años C20'!E38</f>
        <v>0</v>
      </c>
      <c r="R40" s="193">
        <f>'Flujo 5 años C20'!F38</f>
        <v>0</v>
      </c>
      <c r="S40" s="193">
        <f>'Flujo 5 años C20'!G38</f>
        <v>0</v>
      </c>
      <c r="T40" s="193">
        <f>'Flujo 5 años C20'!H38</f>
        <v>0</v>
      </c>
      <c r="U40" s="193">
        <f>'Flujo 5 años C20'!I38</f>
        <v>0</v>
      </c>
      <c r="V40" s="193">
        <f>'Flujo 5 años C20'!J38</f>
        <v>0</v>
      </c>
      <c r="W40" s="193">
        <f>'Flujo 5 años C20'!K38</f>
        <v>0</v>
      </c>
      <c r="X40" s="193">
        <f>'Flujo 5 años C20'!L38</f>
        <v>0</v>
      </c>
      <c r="Y40" s="193">
        <f>'Flujo 5 años C20'!M38</f>
        <v>10234.86926145207</v>
      </c>
      <c r="Z40" s="219">
        <f>Z26-Z29-Z30</f>
        <v>10234.86926145207</v>
      </c>
      <c r="AA40" s="218"/>
    </row>
    <row r="41" spans="2:27" x14ac:dyDescent="0.3">
      <c r="O41" s="121"/>
      <c r="P41" s="19"/>
      <c r="AA41" s="121"/>
    </row>
    <row r="48" spans="2:27" x14ac:dyDescent="0.3">
      <c r="G48" s="97"/>
    </row>
    <row r="49" spans="7:7" x14ac:dyDescent="0.3">
      <c r="G49" s="4"/>
    </row>
  </sheetData>
  <mergeCells count="2">
    <mergeCell ref="D2:N2"/>
    <mergeCell ref="P2:Z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AC83-8DD7-4ED8-B937-49A8B89D92C3}">
  <sheetPr>
    <tabColor theme="3" tint="0.79998168889431442"/>
  </sheetPr>
  <dimension ref="B2:M368"/>
  <sheetViews>
    <sheetView showGridLines="0" zoomScale="105" zoomScaleNormal="90" workbookViewId="0">
      <selection activeCell="D4" sqref="D4"/>
    </sheetView>
  </sheetViews>
  <sheetFormatPr baseColWidth="10" defaultRowHeight="14.4" x14ac:dyDescent="0.3"/>
  <cols>
    <col min="1" max="1" width="3.21875" customWidth="1"/>
    <col min="2" max="2" width="19.33203125" bestFit="1" customWidth="1"/>
    <col min="3" max="3" width="5.5546875" bestFit="1" customWidth="1"/>
    <col min="5" max="5" width="14.6640625" bestFit="1" customWidth="1"/>
    <col min="6" max="6" width="3.5546875" customWidth="1"/>
    <col min="8" max="8" width="9.5546875" bestFit="1" customWidth="1"/>
    <col min="9" max="9" width="9.109375" bestFit="1" customWidth="1"/>
    <col min="10" max="10" width="9.5546875" bestFit="1" customWidth="1"/>
    <col min="11" max="11" width="11.5546875" bestFit="1" customWidth="1"/>
    <col min="13" max="13" width="14.109375" bestFit="1" customWidth="1"/>
  </cols>
  <sheetData>
    <row r="2" spans="2:13" x14ac:dyDescent="0.3">
      <c r="B2" t="s">
        <v>120</v>
      </c>
      <c r="D2" s="2">
        <f>'IVA Dptos'!X23+'IVA Dptos'!M23+'IVA Dptos'!O23</f>
        <v>83063</v>
      </c>
      <c r="E2" s="109"/>
      <c r="F2" s="4"/>
    </row>
    <row r="3" spans="2:13" x14ac:dyDescent="0.3">
      <c r="B3" t="s">
        <v>119</v>
      </c>
      <c r="C3">
        <v>0.28000000000000003</v>
      </c>
      <c r="D3" s="2">
        <f>D2-D2*C3</f>
        <v>59805.36</v>
      </c>
      <c r="E3">
        <f>118000</f>
        <v>118000</v>
      </c>
      <c r="G3" s="2">
        <f>E3-D3</f>
        <v>58194.64</v>
      </c>
      <c r="M3" s="2"/>
    </row>
    <row r="4" spans="2:13" x14ac:dyDescent="0.3">
      <c r="B4" t="s">
        <v>147</v>
      </c>
      <c r="D4" s="4">
        <f>D3</f>
        <v>59805.36</v>
      </c>
      <c r="E4" s="2"/>
    </row>
    <row r="5" spans="2:13" x14ac:dyDescent="0.3">
      <c r="B5" t="s">
        <v>146</v>
      </c>
      <c r="D5" s="16">
        <v>0.05</v>
      </c>
    </row>
    <row r="6" spans="2:13" ht="15" thickBot="1" x14ac:dyDescent="0.35">
      <c r="B6" t="s">
        <v>58</v>
      </c>
      <c r="D6" s="16">
        <f>D5/12</f>
        <v>4.1666666666666666E-3</v>
      </c>
      <c r="G6" s="21" t="s">
        <v>60</v>
      </c>
      <c r="H6" s="21" t="s">
        <v>61</v>
      </c>
      <c r="I6" s="21" t="s">
        <v>62</v>
      </c>
      <c r="J6" s="21" t="s">
        <v>63</v>
      </c>
      <c r="K6" s="21" t="s">
        <v>57</v>
      </c>
    </row>
    <row r="7" spans="2:13" x14ac:dyDescent="0.3">
      <c r="B7" s="112" t="s">
        <v>59</v>
      </c>
      <c r="C7" s="112"/>
      <c r="D7" s="112">
        <f>12*12</f>
        <v>144</v>
      </c>
      <c r="G7" s="149">
        <v>0</v>
      </c>
      <c r="H7" s="149">
        <v>0</v>
      </c>
      <c r="I7" s="149">
        <v>0</v>
      </c>
      <c r="J7" s="149">
        <v>0</v>
      </c>
      <c r="K7" s="150">
        <f>D4</f>
        <v>59805.36</v>
      </c>
    </row>
    <row r="8" spans="2:13" x14ac:dyDescent="0.3">
      <c r="B8" s="112"/>
      <c r="C8" s="112"/>
      <c r="D8" s="112">
        <f>D7/12</f>
        <v>12</v>
      </c>
      <c r="G8" s="149">
        <f>G7+1</f>
        <v>1</v>
      </c>
      <c r="H8" s="151">
        <f>PMT($D$6,$D$7,$D$4)</f>
        <v>-553.13404144093897</v>
      </c>
      <c r="I8" s="152">
        <f>-K7*$D$6</f>
        <v>-249.18899999999999</v>
      </c>
      <c r="J8" s="118">
        <f>H8-I8</f>
        <v>-303.94504144093901</v>
      </c>
      <c r="K8" s="118">
        <f>K7+J8</f>
        <v>59501.414958559064</v>
      </c>
    </row>
    <row r="9" spans="2:13" x14ac:dyDescent="0.3">
      <c r="G9" s="149">
        <f t="shared" ref="G9:G66" si="0">G8+1</f>
        <v>2</v>
      </c>
      <c r="H9" s="151">
        <f t="shared" ref="H9:H40" si="1">PMT($D$5/12,$D$7,$D$4)</f>
        <v>-553.13404144093897</v>
      </c>
      <c r="I9" s="152">
        <f t="shared" ref="I9:I67" si="2">-K8*$D$6</f>
        <v>-247.92256232732942</v>
      </c>
      <c r="J9" s="118">
        <f t="shared" ref="J9:J67" si="3">H9-I9</f>
        <v>-305.21147911360958</v>
      </c>
      <c r="K9" s="118">
        <f t="shared" ref="K9:K67" si="4">K8+J9</f>
        <v>59196.203479445452</v>
      </c>
    </row>
    <row r="10" spans="2:13" x14ac:dyDescent="0.3">
      <c r="B10" t="s">
        <v>92</v>
      </c>
      <c r="D10" s="2">
        <v>0</v>
      </c>
      <c r="G10" s="149">
        <f t="shared" si="0"/>
        <v>3</v>
      </c>
      <c r="H10" s="151">
        <f t="shared" si="1"/>
        <v>-553.13404144093897</v>
      </c>
      <c r="I10" s="152">
        <f t="shared" si="2"/>
        <v>-246.6508478310227</v>
      </c>
      <c r="J10" s="118">
        <f t="shared" si="3"/>
        <v>-306.48319360991627</v>
      </c>
      <c r="K10" s="118">
        <f t="shared" si="4"/>
        <v>58889.720285835538</v>
      </c>
    </row>
    <row r="11" spans="2:13" x14ac:dyDescent="0.3">
      <c r="G11" s="149">
        <f t="shared" si="0"/>
        <v>4</v>
      </c>
      <c r="H11" s="151">
        <f t="shared" si="1"/>
        <v>-553.13404144093897</v>
      </c>
      <c r="I11" s="152">
        <f t="shared" si="2"/>
        <v>-245.37383452431473</v>
      </c>
      <c r="J11" s="118">
        <f t="shared" si="3"/>
        <v>-307.76020691662427</v>
      </c>
      <c r="K11" s="118">
        <f t="shared" si="4"/>
        <v>58581.960078918913</v>
      </c>
    </row>
    <row r="12" spans="2:13" x14ac:dyDescent="0.3">
      <c r="G12" s="149">
        <f t="shared" si="0"/>
        <v>5</v>
      </c>
      <c r="H12" s="151">
        <f t="shared" si="1"/>
        <v>-553.13404144093897</v>
      </c>
      <c r="I12" s="152">
        <f t="shared" si="2"/>
        <v>-244.0915003288288</v>
      </c>
      <c r="J12" s="118">
        <f t="shared" si="3"/>
        <v>-309.04254111211014</v>
      </c>
      <c r="K12" s="118">
        <f t="shared" si="4"/>
        <v>58272.917537806803</v>
      </c>
    </row>
    <row r="13" spans="2:13" x14ac:dyDescent="0.3">
      <c r="G13" s="149">
        <f t="shared" si="0"/>
        <v>6</v>
      </c>
      <c r="H13" s="151">
        <f t="shared" si="1"/>
        <v>-553.13404144093897</v>
      </c>
      <c r="I13" s="152">
        <f t="shared" si="2"/>
        <v>-242.80382307419501</v>
      </c>
      <c r="J13" s="118">
        <f t="shared" si="3"/>
        <v>-310.33021836674396</v>
      </c>
      <c r="K13" s="118">
        <f t="shared" si="4"/>
        <v>57962.587319440056</v>
      </c>
    </row>
    <row r="14" spans="2:13" x14ac:dyDescent="0.3">
      <c r="G14" s="149">
        <f t="shared" si="0"/>
        <v>7</v>
      </c>
      <c r="H14" s="151">
        <f t="shared" si="1"/>
        <v>-553.13404144093897</v>
      </c>
      <c r="I14" s="152">
        <f t="shared" si="2"/>
        <v>-241.5107804976669</v>
      </c>
      <c r="J14" s="118">
        <f t="shared" si="3"/>
        <v>-311.62326094327204</v>
      </c>
      <c r="K14" s="118">
        <f t="shared" si="4"/>
        <v>57650.964058496786</v>
      </c>
      <c r="M14" s="19"/>
    </row>
    <row r="15" spans="2:13" x14ac:dyDescent="0.3">
      <c r="G15" s="149">
        <f t="shared" si="0"/>
        <v>8</v>
      </c>
      <c r="H15" s="151">
        <f t="shared" si="1"/>
        <v>-553.13404144093897</v>
      </c>
      <c r="I15" s="152">
        <f t="shared" si="2"/>
        <v>-240.21235024373661</v>
      </c>
      <c r="J15" s="118">
        <f t="shared" si="3"/>
        <v>-312.92169119720234</v>
      </c>
      <c r="K15" s="118">
        <f t="shared" si="4"/>
        <v>57338.042367299582</v>
      </c>
    </row>
    <row r="16" spans="2:13" x14ac:dyDescent="0.3">
      <c r="G16" s="149">
        <f t="shared" si="0"/>
        <v>9</v>
      </c>
      <c r="H16" s="151">
        <f t="shared" si="1"/>
        <v>-553.13404144093897</v>
      </c>
      <c r="I16" s="152">
        <f t="shared" si="2"/>
        <v>-238.90850986374826</v>
      </c>
      <c r="J16" s="118">
        <f t="shared" si="3"/>
        <v>-314.22553157719074</v>
      </c>
      <c r="K16" s="118">
        <f t="shared" si="4"/>
        <v>57023.816835722391</v>
      </c>
    </row>
    <row r="17" spans="5:11" x14ac:dyDescent="0.3">
      <c r="G17" s="149">
        <f t="shared" si="0"/>
        <v>10</v>
      </c>
      <c r="H17" s="151">
        <f t="shared" si="1"/>
        <v>-553.13404144093897</v>
      </c>
      <c r="I17" s="152">
        <f t="shared" si="2"/>
        <v>-237.59923681550995</v>
      </c>
      <c r="J17" s="118">
        <f t="shared" si="3"/>
        <v>-315.53480462542905</v>
      </c>
      <c r="K17" s="118">
        <f t="shared" si="4"/>
        <v>56708.282031096962</v>
      </c>
    </row>
    <row r="18" spans="5:11" x14ac:dyDescent="0.3">
      <c r="G18" s="149">
        <f t="shared" si="0"/>
        <v>11</v>
      </c>
      <c r="H18" s="151">
        <f t="shared" si="1"/>
        <v>-553.13404144093897</v>
      </c>
      <c r="I18" s="152">
        <f t="shared" si="2"/>
        <v>-236.284508462904</v>
      </c>
      <c r="J18" s="118">
        <f t="shared" si="3"/>
        <v>-316.84953297803497</v>
      </c>
      <c r="K18" s="118">
        <f t="shared" si="4"/>
        <v>56391.432498118927</v>
      </c>
    </row>
    <row r="19" spans="5:11" x14ac:dyDescent="0.3">
      <c r="E19" s="19">
        <f>SUM(H8:H19)</f>
        <v>-6637.6084972912658</v>
      </c>
      <c r="G19" s="149">
        <f t="shared" si="0"/>
        <v>12</v>
      </c>
      <c r="H19" s="151">
        <f t="shared" si="1"/>
        <v>-553.13404144093897</v>
      </c>
      <c r="I19" s="152">
        <f t="shared" si="2"/>
        <v>-234.96430207549554</v>
      </c>
      <c r="J19" s="118">
        <f t="shared" si="3"/>
        <v>-318.16973936544343</v>
      </c>
      <c r="K19" s="118">
        <f t="shared" si="4"/>
        <v>56073.262758753481</v>
      </c>
    </row>
    <row r="20" spans="5:11" x14ac:dyDescent="0.3">
      <c r="G20" s="149">
        <f t="shared" si="0"/>
        <v>13</v>
      </c>
      <c r="H20" s="151">
        <f t="shared" si="1"/>
        <v>-553.13404144093897</v>
      </c>
      <c r="I20" s="152">
        <f t="shared" si="2"/>
        <v>-233.6385948281395</v>
      </c>
      <c r="J20" s="118">
        <f t="shared" si="3"/>
        <v>-319.49544661279947</v>
      </c>
      <c r="K20" s="118">
        <f t="shared" si="4"/>
        <v>55753.767312140684</v>
      </c>
    </row>
    <row r="21" spans="5:11" x14ac:dyDescent="0.3">
      <c r="G21" s="149">
        <f t="shared" si="0"/>
        <v>14</v>
      </c>
      <c r="H21" s="151">
        <f t="shared" si="1"/>
        <v>-553.13404144093897</v>
      </c>
      <c r="I21" s="152">
        <f t="shared" si="2"/>
        <v>-232.30736380058619</v>
      </c>
      <c r="J21" s="118">
        <f t="shared" si="3"/>
        <v>-320.82667764035278</v>
      </c>
      <c r="K21" s="118">
        <f t="shared" si="4"/>
        <v>55432.94063450033</v>
      </c>
    </row>
    <row r="22" spans="5:11" x14ac:dyDescent="0.3">
      <c r="G22" s="149">
        <f t="shared" si="0"/>
        <v>15</v>
      </c>
      <c r="H22" s="151">
        <f t="shared" si="1"/>
        <v>-553.13404144093897</v>
      </c>
      <c r="I22" s="152">
        <f t="shared" si="2"/>
        <v>-230.97058597708471</v>
      </c>
      <c r="J22" s="118">
        <f t="shared" si="3"/>
        <v>-322.16345546385423</v>
      </c>
      <c r="K22" s="118">
        <f t="shared" si="4"/>
        <v>55110.777179036479</v>
      </c>
    </row>
    <row r="23" spans="5:11" x14ac:dyDescent="0.3">
      <c r="G23" s="149">
        <f t="shared" si="0"/>
        <v>16</v>
      </c>
      <c r="H23" s="151">
        <f t="shared" si="1"/>
        <v>-553.13404144093897</v>
      </c>
      <c r="I23" s="152">
        <f t="shared" si="2"/>
        <v>-229.62823824598533</v>
      </c>
      <c r="J23" s="118">
        <f t="shared" si="3"/>
        <v>-323.50580319495361</v>
      </c>
      <c r="K23" s="118">
        <f t="shared" si="4"/>
        <v>54787.271375841527</v>
      </c>
    </row>
    <row r="24" spans="5:11" x14ac:dyDescent="0.3">
      <c r="G24" s="149">
        <f t="shared" si="0"/>
        <v>17</v>
      </c>
      <c r="H24" s="151">
        <f t="shared" si="1"/>
        <v>-553.13404144093897</v>
      </c>
      <c r="I24" s="152">
        <f t="shared" si="2"/>
        <v>-228.2802973993397</v>
      </c>
      <c r="J24" s="118">
        <f t="shared" si="3"/>
        <v>-324.85374404159927</v>
      </c>
      <c r="K24" s="118">
        <f t="shared" si="4"/>
        <v>54462.41763179993</v>
      </c>
    </row>
    <row r="25" spans="5:11" x14ac:dyDescent="0.3">
      <c r="G25" s="149">
        <f t="shared" si="0"/>
        <v>18</v>
      </c>
      <c r="H25" s="151">
        <f t="shared" si="1"/>
        <v>-553.13404144093897</v>
      </c>
      <c r="I25" s="152">
        <f t="shared" si="2"/>
        <v>-226.9267401324997</v>
      </c>
      <c r="J25" s="118">
        <f t="shared" si="3"/>
        <v>-326.20730130843924</v>
      </c>
      <c r="K25" s="118">
        <f t="shared" si="4"/>
        <v>54136.210330491493</v>
      </c>
    </row>
    <row r="26" spans="5:11" x14ac:dyDescent="0.3">
      <c r="G26" s="149">
        <f t="shared" si="0"/>
        <v>19</v>
      </c>
      <c r="H26" s="151">
        <f t="shared" si="1"/>
        <v>-553.13404144093897</v>
      </c>
      <c r="I26" s="152">
        <f t="shared" si="2"/>
        <v>-225.56754304371455</v>
      </c>
      <c r="J26" s="118">
        <f t="shared" si="3"/>
        <v>-327.56649839722445</v>
      </c>
      <c r="K26" s="118">
        <f t="shared" si="4"/>
        <v>53808.643832094269</v>
      </c>
    </row>
    <row r="27" spans="5:11" x14ac:dyDescent="0.3">
      <c r="G27" s="149">
        <f t="shared" si="0"/>
        <v>20</v>
      </c>
      <c r="H27" s="151">
        <f t="shared" si="1"/>
        <v>-553.13404144093897</v>
      </c>
      <c r="I27" s="152">
        <f t="shared" si="2"/>
        <v>-224.20268263372611</v>
      </c>
      <c r="J27" s="118">
        <f t="shared" si="3"/>
        <v>-328.93135880721286</v>
      </c>
      <c r="K27" s="118">
        <f t="shared" si="4"/>
        <v>53479.712473287058</v>
      </c>
    </row>
    <row r="28" spans="5:11" x14ac:dyDescent="0.3">
      <c r="G28" s="149">
        <f t="shared" si="0"/>
        <v>21</v>
      </c>
      <c r="H28" s="151">
        <f t="shared" si="1"/>
        <v>-553.13404144093897</v>
      </c>
      <c r="I28" s="152">
        <f t="shared" si="2"/>
        <v>-222.83213530536273</v>
      </c>
      <c r="J28" s="118">
        <f t="shared" si="3"/>
        <v>-330.30190613557625</v>
      </c>
      <c r="K28" s="118">
        <f t="shared" si="4"/>
        <v>53149.410567151484</v>
      </c>
    </row>
    <row r="29" spans="5:11" x14ac:dyDescent="0.3">
      <c r="G29" s="149">
        <f t="shared" si="0"/>
        <v>22</v>
      </c>
      <c r="H29" s="151">
        <f t="shared" si="1"/>
        <v>-553.13404144093897</v>
      </c>
      <c r="I29" s="152">
        <f t="shared" si="2"/>
        <v>-221.45587736313118</v>
      </c>
      <c r="J29" s="118">
        <f t="shared" si="3"/>
        <v>-331.67816407780776</v>
      </c>
      <c r="K29" s="118">
        <f t="shared" si="4"/>
        <v>52817.732403073678</v>
      </c>
    </row>
    <row r="30" spans="5:11" x14ac:dyDescent="0.3">
      <c r="G30" s="149">
        <f t="shared" si="0"/>
        <v>23</v>
      </c>
      <c r="H30" s="151">
        <f t="shared" si="1"/>
        <v>-553.13404144093897</v>
      </c>
      <c r="I30" s="152">
        <f t="shared" si="2"/>
        <v>-220.07388501280698</v>
      </c>
      <c r="J30" s="118">
        <f t="shared" si="3"/>
        <v>-333.06015642813202</v>
      </c>
      <c r="K30" s="118">
        <f t="shared" si="4"/>
        <v>52484.672246645547</v>
      </c>
    </row>
    <row r="31" spans="5:11" x14ac:dyDescent="0.3">
      <c r="G31" s="149">
        <f t="shared" si="0"/>
        <v>24</v>
      </c>
      <c r="H31" s="151">
        <f t="shared" si="1"/>
        <v>-553.13404144093897</v>
      </c>
      <c r="I31" s="152">
        <f t="shared" si="2"/>
        <v>-218.68613436102311</v>
      </c>
      <c r="J31" s="118">
        <f t="shared" si="3"/>
        <v>-334.44790707991586</v>
      </c>
      <c r="K31" s="118">
        <f t="shared" si="4"/>
        <v>52150.224339565633</v>
      </c>
    </row>
    <row r="32" spans="5:11" x14ac:dyDescent="0.3">
      <c r="G32" s="149">
        <f t="shared" si="0"/>
        <v>25</v>
      </c>
      <c r="H32" s="151">
        <f t="shared" si="1"/>
        <v>-553.13404144093897</v>
      </c>
      <c r="I32" s="152">
        <f t="shared" si="2"/>
        <v>-217.29260141485679</v>
      </c>
      <c r="J32" s="118">
        <f t="shared" si="3"/>
        <v>-335.84144002608218</v>
      </c>
      <c r="K32" s="118">
        <f t="shared" si="4"/>
        <v>51814.382899539552</v>
      </c>
    </row>
    <row r="33" spans="7:11" x14ac:dyDescent="0.3">
      <c r="G33" s="149">
        <f t="shared" si="0"/>
        <v>26</v>
      </c>
      <c r="H33" s="151">
        <f t="shared" si="1"/>
        <v>-553.13404144093897</v>
      </c>
      <c r="I33" s="152">
        <f t="shared" si="2"/>
        <v>-215.8932620814148</v>
      </c>
      <c r="J33" s="118">
        <f t="shared" si="3"/>
        <v>-337.24077935952414</v>
      </c>
      <c r="K33" s="118">
        <f t="shared" si="4"/>
        <v>51477.142120180026</v>
      </c>
    </row>
    <row r="34" spans="7:11" x14ac:dyDescent="0.3">
      <c r="G34" s="149">
        <f t="shared" si="0"/>
        <v>27</v>
      </c>
      <c r="H34" s="151">
        <f t="shared" si="1"/>
        <v>-553.13404144093897</v>
      </c>
      <c r="I34" s="152">
        <f t="shared" si="2"/>
        <v>-214.48809216741677</v>
      </c>
      <c r="J34" s="118">
        <f t="shared" si="3"/>
        <v>-338.64594927352221</v>
      </c>
      <c r="K34" s="118">
        <f t="shared" si="4"/>
        <v>51138.496170906503</v>
      </c>
    </row>
    <row r="35" spans="7:11" x14ac:dyDescent="0.3">
      <c r="G35" s="149">
        <f t="shared" si="0"/>
        <v>28</v>
      </c>
      <c r="H35" s="151">
        <f t="shared" si="1"/>
        <v>-553.13404144093897</v>
      </c>
      <c r="I35" s="152">
        <f t="shared" si="2"/>
        <v>-213.07706737877709</v>
      </c>
      <c r="J35" s="118">
        <f t="shared" si="3"/>
        <v>-340.05697406216188</v>
      </c>
      <c r="K35" s="118">
        <f t="shared" si="4"/>
        <v>50798.439196844338</v>
      </c>
    </row>
    <row r="36" spans="7:11" x14ac:dyDescent="0.3">
      <c r="G36" s="149">
        <f t="shared" si="0"/>
        <v>29</v>
      </c>
      <c r="H36" s="151">
        <f t="shared" si="1"/>
        <v>-553.13404144093897</v>
      </c>
      <c r="I36" s="152">
        <f t="shared" si="2"/>
        <v>-211.66016332018475</v>
      </c>
      <c r="J36" s="118">
        <f t="shared" si="3"/>
        <v>-341.47387812075419</v>
      </c>
      <c r="K36" s="118">
        <f t="shared" si="4"/>
        <v>50456.965318723582</v>
      </c>
    </row>
    <row r="37" spans="7:11" x14ac:dyDescent="0.3">
      <c r="G37" s="149">
        <f t="shared" si="0"/>
        <v>30</v>
      </c>
      <c r="H37" s="151">
        <f t="shared" si="1"/>
        <v>-553.13404144093897</v>
      </c>
      <c r="I37" s="152">
        <f t="shared" si="2"/>
        <v>-210.23735549468159</v>
      </c>
      <c r="J37" s="118">
        <f t="shared" si="3"/>
        <v>-342.89668594625738</v>
      </c>
      <c r="K37" s="118">
        <f t="shared" si="4"/>
        <v>50114.068632777322</v>
      </c>
    </row>
    <row r="38" spans="7:11" x14ac:dyDescent="0.3">
      <c r="G38" s="149">
        <f t="shared" si="0"/>
        <v>31</v>
      </c>
      <c r="H38" s="151">
        <f t="shared" si="1"/>
        <v>-553.13404144093897</v>
      </c>
      <c r="I38" s="152">
        <f t="shared" si="2"/>
        <v>-208.80861930323883</v>
      </c>
      <c r="J38" s="118">
        <f t="shared" si="3"/>
        <v>-344.32542213770012</v>
      </c>
      <c r="K38" s="118">
        <f t="shared" si="4"/>
        <v>49769.743210639623</v>
      </c>
    </row>
    <row r="39" spans="7:11" x14ac:dyDescent="0.3">
      <c r="G39" s="149">
        <f t="shared" si="0"/>
        <v>32</v>
      </c>
      <c r="H39" s="151">
        <f t="shared" si="1"/>
        <v>-553.13404144093897</v>
      </c>
      <c r="I39" s="152">
        <f t="shared" si="2"/>
        <v>-207.37393004433176</v>
      </c>
      <c r="J39" s="118">
        <f t="shared" si="3"/>
        <v>-345.76011139660721</v>
      </c>
      <c r="K39" s="118">
        <f t="shared" si="4"/>
        <v>49423.983099243014</v>
      </c>
    </row>
    <row r="40" spans="7:11" x14ac:dyDescent="0.3">
      <c r="G40" s="149">
        <f t="shared" si="0"/>
        <v>33</v>
      </c>
      <c r="H40" s="151">
        <f t="shared" si="1"/>
        <v>-553.13404144093897</v>
      </c>
      <c r="I40" s="152">
        <f t="shared" si="2"/>
        <v>-205.93326291351255</v>
      </c>
      <c r="J40" s="118">
        <f t="shared" si="3"/>
        <v>-347.20077852742645</v>
      </c>
      <c r="K40" s="118">
        <f t="shared" si="4"/>
        <v>49076.782320715589</v>
      </c>
    </row>
    <row r="41" spans="7:11" x14ac:dyDescent="0.3">
      <c r="G41" s="149">
        <f t="shared" si="0"/>
        <v>34</v>
      </c>
      <c r="H41" s="151">
        <f t="shared" ref="H41:H104" si="5">PMT($D$5/12,$D$7,$D$4)</f>
        <v>-553.13404144093897</v>
      </c>
      <c r="I41" s="152">
        <f t="shared" si="2"/>
        <v>-204.48659300298161</v>
      </c>
      <c r="J41" s="118">
        <f t="shared" si="3"/>
        <v>-348.64744843795734</v>
      </c>
      <c r="K41" s="118">
        <f t="shared" si="4"/>
        <v>48728.134872277631</v>
      </c>
    </row>
    <row r="42" spans="7:11" x14ac:dyDescent="0.3">
      <c r="G42" s="149">
        <f t="shared" si="0"/>
        <v>35</v>
      </c>
      <c r="H42" s="151">
        <f t="shared" si="5"/>
        <v>-553.13404144093897</v>
      </c>
      <c r="I42" s="152">
        <f t="shared" si="2"/>
        <v>-203.0338953011568</v>
      </c>
      <c r="J42" s="118">
        <f t="shared" si="3"/>
        <v>-350.10014613978217</v>
      </c>
      <c r="K42" s="118">
        <f t="shared" si="4"/>
        <v>48378.034726137848</v>
      </c>
    </row>
    <row r="43" spans="7:11" x14ac:dyDescent="0.3">
      <c r="G43" s="149">
        <f t="shared" si="0"/>
        <v>36</v>
      </c>
      <c r="H43" s="151">
        <f t="shared" si="5"/>
        <v>-553.13404144093897</v>
      </c>
      <c r="I43" s="152">
        <f t="shared" si="2"/>
        <v>-201.57514469224103</v>
      </c>
      <c r="J43" s="118">
        <f t="shared" si="3"/>
        <v>-351.55889674869798</v>
      </c>
      <c r="K43" s="118">
        <f t="shared" si="4"/>
        <v>48026.47582938915</v>
      </c>
    </row>
    <row r="44" spans="7:11" x14ac:dyDescent="0.3">
      <c r="G44" s="149">
        <f t="shared" si="0"/>
        <v>37</v>
      </c>
      <c r="H44" s="151">
        <f t="shared" si="5"/>
        <v>-553.13404144093897</v>
      </c>
      <c r="I44" s="152">
        <f t="shared" si="2"/>
        <v>-200.11031595578811</v>
      </c>
      <c r="J44" s="118">
        <f t="shared" si="3"/>
        <v>-353.02372548515086</v>
      </c>
      <c r="K44" s="118">
        <f t="shared" si="4"/>
        <v>47673.452103903997</v>
      </c>
    </row>
    <row r="45" spans="7:11" x14ac:dyDescent="0.3">
      <c r="G45" s="149">
        <f t="shared" si="0"/>
        <v>38</v>
      </c>
      <c r="H45" s="151">
        <f t="shared" si="5"/>
        <v>-553.13404144093897</v>
      </c>
      <c r="I45" s="152">
        <f t="shared" si="2"/>
        <v>-198.63938376626666</v>
      </c>
      <c r="J45" s="118">
        <f t="shared" si="3"/>
        <v>-354.49465767467234</v>
      </c>
      <c r="K45" s="118">
        <f t="shared" si="4"/>
        <v>47318.957446229324</v>
      </c>
    </row>
    <row r="46" spans="7:11" x14ac:dyDescent="0.3">
      <c r="G46" s="149">
        <f t="shared" si="0"/>
        <v>39</v>
      </c>
      <c r="H46" s="151">
        <f t="shared" si="5"/>
        <v>-553.13404144093897</v>
      </c>
      <c r="I46" s="152">
        <f t="shared" si="2"/>
        <v>-197.16232269262218</v>
      </c>
      <c r="J46" s="118">
        <f t="shared" si="3"/>
        <v>-355.97171874831679</v>
      </c>
      <c r="K46" s="118">
        <f t="shared" si="4"/>
        <v>46962.985727481006</v>
      </c>
    </row>
    <row r="47" spans="7:11" x14ac:dyDescent="0.3">
      <c r="G47" s="149">
        <f t="shared" si="0"/>
        <v>40</v>
      </c>
      <c r="H47" s="151">
        <f t="shared" si="5"/>
        <v>-553.13404144093897</v>
      </c>
      <c r="I47" s="152">
        <f t="shared" si="2"/>
        <v>-195.67910719783751</v>
      </c>
      <c r="J47" s="118">
        <f t="shared" si="3"/>
        <v>-357.45493424310143</v>
      </c>
      <c r="K47" s="118">
        <f t="shared" si="4"/>
        <v>46605.530793237907</v>
      </c>
    </row>
    <row r="48" spans="7:11" x14ac:dyDescent="0.3">
      <c r="G48" s="149">
        <f t="shared" si="0"/>
        <v>41</v>
      </c>
      <c r="H48" s="151">
        <f t="shared" si="5"/>
        <v>-553.13404144093897</v>
      </c>
      <c r="I48" s="152">
        <f t="shared" si="2"/>
        <v>-194.18971163849127</v>
      </c>
      <c r="J48" s="118">
        <f t="shared" si="3"/>
        <v>-358.94432980244767</v>
      </c>
      <c r="K48" s="118">
        <f t="shared" si="4"/>
        <v>46246.586463435458</v>
      </c>
    </row>
    <row r="49" spans="7:11" x14ac:dyDescent="0.3">
      <c r="G49" s="149">
        <f t="shared" si="0"/>
        <v>42</v>
      </c>
      <c r="H49" s="151">
        <f t="shared" si="5"/>
        <v>-553.13404144093897</v>
      </c>
      <c r="I49" s="152">
        <f t="shared" si="2"/>
        <v>-192.69411026431442</v>
      </c>
      <c r="J49" s="118">
        <f t="shared" si="3"/>
        <v>-360.43993117662455</v>
      </c>
      <c r="K49" s="118">
        <f t="shared" si="4"/>
        <v>45886.146532258834</v>
      </c>
    </row>
    <row r="50" spans="7:11" x14ac:dyDescent="0.3">
      <c r="G50" s="149">
        <f t="shared" si="0"/>
        <v>43</v>
      </c>
      <c r="H50" s="151">
        <f t="shared" si="5"/>
        <v>-553.13404144093897</v>
      </c>
      <c r="I50" s="152">
        <f t="shared" si="2"/>
        <v>-191.19227721774513</v>
      </c>
      <c r="J50" s="118">
        <f t="shared" si="3"/>
        <v>-361.94176422319384</v>
      </c>
      <c r="K50" s="118">
        <f t="shared" si="4"/>
        <v>45524.204768035641</v>
      </c>
    </row>
    <row r="51" spans="7:11" x14ac:dyDescent="0.3">
      <c r="G51" s="149">
        <f t="shared" si="0"/>
        <v>44</v>
      </c>
      <c r="H51" s="151">
        <f t="shared" si="5"/>
        <v>-553.13404144093897</v>
      </c>
      <c r="I51" s="152">
        <f t="shared" si="2"/>
        <v>-189.68418653348184</v>
      </c>
      <c r="J51" s="118">
        <f t="shared" si="3"/>
        <v>-363.44985490745717</v>
      </c>
      <c r="K51" s="118">
        <f t="shared" si="4"/>
        <v>45160.754913128185</v>
      </c>
    </row>
    <row r="52" spans="7:11" x14ac:dyDescent="0.3">
      <c r="G52" s="149">
        <f t="shared" si="0"/>
        <v>45</v>
      </c>
      <c r="H52" s="151">
        <f t="shared" si="5"/>
        <v>-553.13404144093897</v>
      </c>
      <c r="I52" s="152">
        <f t="shared" si="2"/>
        <v>-188.1698121380341</v>
      </c>
      <c r="J52" s="118">
        <f t="shared" si="3"/>
        <v>-364.96422930290487</v>
      </c>
      <c r="K52" s="118">
        <f t="shared" si="4"/>
        <v>44795.790683825282</v>
      </c>
    </row>
    <row r="53" spans="7:11" x14ac:dyDescent="0.3">
      <c r="G53" s="149">
        <f t="shared" si="0"/>
        <v>46</v>
      </c>
      <c r="H53" s="151">
        <f t="shared" si="5"/>
        <v>-553.13404144093897</v>
      </c>
      <c r="I53" s="152">
        <f t="shared" si="2"/>
        <v>-186.64912784927202</v>
      </c>
      <c r="J53" s="118">
        <f t="shared" si="3"/>
        <v>-366.48491359166695</v>
      </c>
      <c r="K53" s="118">
        <f t="shared" si="4"/>
        <v>44429.305770233615</v>
      </c>
    </row>
    <row r="54" spans="7:11" x14ac:dyDescent="0.3">
      <c r="G54" s="149">
        <f t="shared" si="0"/>
        <v>47</v>
      </c>
      <c r="H54" s="151">
        <f t="shared" si="5"/>
        <v>-553.13404144093897</v>
      </c>
      <c r="I54" s="152">
        <f t="shared" si="2"/>
        <v>-185.1221073759734</v>
      </c>
      <c r="J54" s="118">
        <f t="shared" si="3"/>
        <v>-368.01193406496554</v>
      </c>
      <c r="K54" s="118">
        <f t="shared" si="4"/>
        <v>44061.293836168647</v>
      </c>
    </row>
    <row r="55" spans="7:11" x14ac:dyDescent="0.3">
      <c r="G55" s="149">
        <f t="shared" si="0"/>
        <v>48</v>
      </c>
      <c r="H55" s="151">
        <f t="shared" si="5"/>
        <v>-553.13404144093897</v>
      </c>
      <c r="I55" s="152">
        <f t="shared" si="2"/>
        <v>-183.58872431736935</v>
      </c>
      <c r="J55" s="118">
        <f t="shared" si="3"/>
        <v>-369.54531712356959</v>
      </c>
      <c r="K55" s="118">
        <f t="shared" si="4"/>
        <v>43691.748519045075</v>
      </c>
    </row>
    <row r="56" spans="7:11" x14ac:dyDescent="0.3">
      <c r="G56" s="149">
        <f t="shared" si="0"/>
        <v>49</v>
      </c>
      <c r="H56" s="151">
        <f t="shared" si="5"/>
        <v>-553.13404144093897</v>
      </c>
      <c r="I56" s="152">
        <f t="shared" si="2"/>
        <v>-182.04895216268781</v>
      </c>
      <c r="J56" s="118">
        <f t="shared" si="3"/>
        <v>-371.08508927825119</v>
      </c>
      <c r="K56" s="118">
        <f t="shared" si="4"/>
        <v>43320.663429766821</v>
      </c>
    </row>
    <row r="57" spans="7:11" x14ac:dyDescent="0.3">
      <c r="G57" s="149">
        <f t="shared" si="0"/>
        <v>50</v>
      </c>
      <c r="H57" s="151">
        <f t="shared" si="5"/>
        <v>-553.13404144093897</v>
      </c>
      <c r="I57" s="152">
        <f t="shared" si="2"/>
        <v>-180.5027642906951</v>
      </c>
      <c r="J57" s="118">
        <f t="shared" si="3"/>
        <v>-372.63127715024387</v>
      </c>
      <c r="K57" s="118">
        <f t="shared" si="4"/>
        <v>42948.032152616579</v>
      </c>
    </row>
    <row r="58" spans="7:11" x14ac:dyDescent="0.3">
      <c r="G58" s="149">
        <f t="shared" si="0"/>
        <v>51</v>
      </c>
      <c r="H58" s="151">
        <f t="shared" si="5"/>
        <v>-553.13404144093897</v>
      </c>
      <c r="I58" s="152">
        <f t="shared" si="2"/>
        <v>-178.95013396923574</v>
      </c>
      <c r="J58" s="118">
        <f t="shared" si="3"/>
        <v>-374.18390747170326</v>
      </c>
      <c r="K58" s="118">
        <f t="shared" si="4"/>
        <v>42573.848245144873</v>
      </c>
    </row>
    <row r="59" spans="7:11" x14ac:dyDescent="0.3">
      <c r="G59" s="149">
        <f t="shared" si="0"/>
        <v>52</v>
      </c>
      <c r="H59" s="151">
        <f t="shared" si="5"/>
        <v>-553.13404144093897</v>
      </c>
      <c r="I59" s="152">
        <f t="shared" si="2"/>
        <v>-177.39103435477031</v>
      </c>
      <c r="J59" s="118">
        <f t="shared" si="3"/>
        <v>-375.74300708616863</v>
      </c>
      <c r="K59" s="118">
        <f t="shared" si="4"/>
        <v>42198.105238058706</v>
      </c>
    </row>
    <row r="60" spans="7:11" x14ac:dyDescent="0.3">
      <c r="G60" s="149">
        <f t="shared" si="0"/>
        <v>53</v>
      </c>
      <c r="H60" s="151">
        <f t="shared" si="5"/>
        <v>-553.13404144093897</v>
      </c>
      <c r="I60" s="152">
        <f t="shared" si="2"/>
        <v>-175.82543849191129</v>
      </c>
      <c r="J60" s="118">
        <f t="shared" si="3"/>
        <v>-377.30860294902766</v>
      </c>
      <c r="K60" s="118">
        <f t="shared" si="4"/>
        <v>41820.796635109677</v>
      </c>
    </row>
    <row r="61" spans="7:11" x14ac:dyDescent="0.3">
      <c r="G61" s="149">
        <f t="shared" si="0"/>
        <v>54</v>
      </c>
      <c r="H61" s="151">
        <f t="shared" si="5"/>
        <v>-553.13404144093897</v>
      </c>
      <c r="I61" s="152">
        <f t="shared" si="2"/>
        <v>-174.25331931295699</v>
      </c>
      <c r="J61" s="118">
        <f t="shared" si="3"/>
        <v>-378.88072212798198</v>
      </c>
      <c r="K61" s="118">
        <f t="shared" si="4"/>
        <v>41441.915912981698</v>
      </c>
    </row>
    <row r="62" spans="7:11" x14ac:dyDescent="0.3">
      <c r="G62" s="149">
        <f t="shared" si="0"/>
        <v>55</v>
      </c>
      <c r="H62" s="151">
        <f t="shared" si="5"/>
        <v>-553.13404144093897</v>
      </c>
      <c r="I62" s="152">
        <f t="shared" si="2"/>
        <v>-172.67464963742373</v>
      </c>
      <c r="J62" s="118">
        <f t="shared" si="3"/>
        <v>-380.45939180351525</v>
      </c>
      <c r="K62" s="118">
        <f t="shared" si="4"/>
        <v>41061.456521178181</v>
      </c>
    </row>
    <row r="63" spans="7:11" x14ac:dyDescent="0.3">
      <c r="G63" s="149">
        <f t="shared" si="0"/>
        <v>56</v>
      </c>
      <c r="H63" s="151">
        <f t="shared" si="5"/>
        <v>-553.13404144093897</v>
      </c>
      <c r="I63" s="152">
        <f t="shared" si="2"/>
        <v>-171.08940217157576</v>
      </c>
      <c r="J63" s="118">
        <f t="shared" si="3"/>
        <v>-382.04463926936319</v>
      </c>
      <c r="K63" s="118">
        <f t="shared" si="4"/>
        <v>40679.411881908818</v>
      </c>
    </row>
    <row r="64" spans="7:11" x14ac:dyDescent="0.3">
      <c r="G64" s="149">
        <f t="shared" si="0"/>
        <v>57</v>
      </c>
      <c r="H64" s="151">
        <f t="shared" si="5"/>
        <v>-553.13404144093897</v>
      </c>
      <c r="I64" s="152">
        <f t="shared" si="2"/>
        <v>-169.49754950795341</v>
      </c>
      <c r="J64" s="118">
        <f t="shared" si="3"/>
        <v>-383.63649193298556</v>
      </c>
      <c r="K64" s="118">
        <f t="shared" si="4"/>
        <v>40295.775389975832</v>
      </c>
    </row>
    <row r="65" spans="5:11" x14ac:dyDescent="0.3">
      <c r="G65" s="149">
        <f t="shared" si="0"/>
        <v>58</v>
      </c>
      <c r="H65" s="151">
        <f t="shared" si="5"/>
        <v>-553.13404144093897</v>
      </c>
      <c r="I65" s="152">
        <f t="shared" si="2"/>
        <v>-167.8990641248993</v>
      </c>
      <c r="J65" s="118">
        <f t="shared" si="3"/>
        <v>-385.2349773160397</v>
      </c>
      <c r="K65" s="118">
        <f t="shared" si="4"/>
        <v>39910.540412659793</v>
      </c>
    </row>
    <row r="66" spans="5:11" x14ac:dyDescent="0.3">
      <c r="G66" s="149">
        <f t="shared" si="0"/>
        <v>59</v>
      </c>
      <c r="H66" s="151">
        <f t="shared" si="5"/>
        <v>-553.13404144093897</v>
      </c>
      <c r="I66" s="152">
        <f t="shared" si="2"/>
        <v>-166.29391838608248</v>
      </c>
      <c r="J66" s="118">
        <f t="shared" si="3"/>
        <v>-386.84012305485646</v>
      </c>
      <c r="K66" s="118">
        <f t="shared" si="4"/>
        <v>39523.700289604938</v>
      </c>
    </row>
    <row r="67" spans="5:11" x14ac:dyDescent="0.3">
      <c r="E67" t="s">
        <v>122</v>
      </c>
      <c r="G67" s="149">
        <f t="shared" ref="G67:G130" si="6">G66+1</f>
        <v>60</v>
      </c>
      <c r="H67" s="151">
        <f t="shared" si="5"/>
        <v>-553.13404144093897</v>
      </c>
      <c r="I67" s="152">
        <f t="shared" si="2"/>
        <v>-164.68208454002058</v>
      </c>
      <c r="J67" s="118">
        <f t="shared" si="3"/>
        <v>-388.45195690091839</v>
      </c>
      <c r="K67" s="118">
        <f t="shared" si="4"/>
        <v>39135.248332704017</v>
      </c>
    </row>
    <row r="68" spans="5:11" x14ac:dyDescent="0.3">
      <c r="G68" s="112">
        <f t="shared" si="6"/>
        <v>61</v>
      </c>
      <c r="H68" s="113">
        <f t="shared" si="5"/>
        <v>-553.13404144093897</v>
      </c>
      <c r="I68" s="114">
        <f t="shared" ref="I68:I127" si="7">-K67*$D$6</f>
        <v>-163.06353471960006</v>
      </c>
      <c r="J68" s="115">
        <f t="shared" ref="J68:J127" si="8">H68-I68</f>
        <v>-390.07050672133892</v>
      </c>
      <c r="K68" s="115">
        <f t="shared" ref="K68:K127" si="9">K67+J68</f>
        <v>38745.177825982675</v>
      </c>
    </row>
    <row r="69" spans="5:11" x14ac:dyDescent="0.3">
      <c r="G69" s="112">
        <f t="shared" si="6"/>
        <v>62</v>
      </c>
      <c r="H69" s="113">
        <f t="shared" si="5"/>
        <v>-553.13404144093897</v>
      </c>
      <c r="I69" s="114">
        <f t="shared" si="7"/>
        <v>-161.43824094159447</v>
      </c>
      <c r="J69" s="115">
        <f t="shared" si="8"/>
        <v>-391.6958004993445</v>
      </c>
      <c r="K69" s="115">
        <f t="shared" si="9"/>
        <v>38353.482025483332</v>
      </c>
    </row>
    <row r="70" spans="5:11" x14ac:dyDescent="0.3">
      <c r="G70" s="112">
        <f t="shared" si="6"/>
        <v>63</v>
      </c>
      <c r="H70" s="113">
        <f t="shared" si="5"/>
        <v>-553.13404144093897</v>
      </c>
      <c r="I70" s="114">
        <f t="shared" si="7"/>
        <v>-159.80617510618055</v>
      </c>
      <c r="J70" s="115">
        <f t="shared" si="8"/>
        <v>-393.32786633475843</v>
      </c>
      <c r="K70" s="115">
        <f t="shared" si="9"/>
        <v>37960.154159148573</v>
      </c>
    </row>
    <row r="71" spans="5:11" x14ac:dyDescent="0.3">
      <c r="G71" s="112">
        <f t="shared" si="6"/>
        <v>64</v>
      </c>
      <c r="H71" s="113">
        <f t="shared" si="5"/>
        <v>-553.13404144093897</v>
      </c>
      <c r="I71" s="114">
        <f t="shared" si="7"/>
        <v>-158.16730899645239</v>
      </c>
      <c r="J71" s="115">
        <f t="shared" si="8"/>
        <v>-394.96673244448658</v>
      </c>
      <c r="K71" s="115">
        <f t="shared" si="9"/>
        <v>37565.187426704084</v>
      </c>
    </row>
    <row r="72" spans="5:11" x14ac:dyDescent="0.3">
      <c r="G72" s="112">
        <f t="shared" si="6"/>
        <v>65</v>
      </c>
      <c r="H72" s="113">
        <f t="shared" si="5"/>
        <v>-553.13404144093897</v>
      </c>
      <c r="I72" s="114">
        <f t="shared" si="7"/>
        <v>-156.52161427793368</v>
      </c>
      <c r="J72" s="115">
        <f t="shared" si="8"/>
        <v>-396.61242716300529</v>
      </c>
      <c r="K72" s="115">
        <f t="shared" si="9"/>
        <v>37168.574999541081</v>
      </c>
    </row>
    <row r="73" spans="5:11" x14ac:dyDescent="0.3">
      <c r="G73" s="112">
        <f t="shared" si="6"/>
        <v>66</v>
      </c>
      <c r="H73" s="113">
        <f t="shared" si="5"/>
        <v>-553.13404144093897</v>
      </c>
      <c r="I73" s="114">
        <f t="shared" si="7"/>
        <v>-154.86906249808783</v>
      </c>
      <c r="J73" s="115">
        <f t="shared" si="8"/>
        <v>-398.26497894285114</v>
      </c>
      <c r="K73" s="115">
        <f t="shared" si="9"/>
        <v>36770.310020598226</v>
      </c>
    </row>
    <row r="74" spans="5:11" x14ac:dyDescent="0.3">
      <c r="G74" s="112">
        <f t="shared" si="6"/>
        <v>67</v>
      </c>
      <c r="H74" s="113">
        <f t="shared" si="5"/>
        <v>-553.13404144093897</v>
      </c>
      <c r="I74" s="114">
        <f t="shared" si="7"/>
        <v>-153.20962508582593</v>
      </c>
      <c r="J74" s="115">
        <f t="shared" si="8"/>
        <v>-399.92441635511307</v>
      </c>
      <c r="K74" s="115">
        <f t="shared" si="9"/>
        <v>36370.385604243114</v>
      </c>
    </row>
    <row r="75" spans="5:11" x14ac:dyDescent="0.3">
      <c r="G75" s="112">
        <f t="shared" si="6"/>
        <v>68</v>
      </c>
      <c r="H75" s="113">
        <f t="shared" si="5"/>
        <v>-553.13404144093897</v>
      </c>
      <c r="I75" s="114">
        <f t="shared" si="7"/>
        <v>-151.54327335101297</v>
      </c>
      <c r="J75" s="115">
        <f t="shared" si="8"/>
        <v>-401.59076808992597</v>
      </c>
      <c r="K75" s="115">
        <f t="shared" si="9"/>
        <v>35968.794836153189</v>
      </c>
    </row>
    <row r="76" spans="5:11" x14ac:dyDescent="0.3">
      <c r="G76" s="112">
        <f t="shared" si="6"/>
        <v>69</v>
      </c>
      <c r="H76" s="113">
        <f t="shared" si="5"/>
        <v>-553.13404144093897</v>
      </c>
      <c r="I76" s="114">
        <f t="shared" si="7"/>
        <v>-149.86997848397161</v>
      </c>
      <c r="J76" s="115">
        <f t="shared" si="8"/>
        <v>-403.26406295696734</v>
      </c>
      <c r="K76" s="115">
        <f t="shared" si="9"/>
        <v>35565.530773196224</v>
      </c>
    </row>
    <row r="77" spans="5:11" x14ac:dyDescent="0.3">
      <c r="G77" s="112">
        <f t="shared" si="6"/>
        <v>70</v>
      </c>
      <c r="H77" s="113">
        <f t="shared" si="5"/>
        <v>-553.13404144093897</v>
      </c>
      <c r="I77" s="114">
        <f t="shared" si="7"/>
        <v>-148.18971155498426</v>
      </c>
      <c r="J77" s="115">
        <f t="shared" si="8"/>
        <v>-404.94432988595474</v>
      </c>
      <c r="K77" s="115">
        <f t="shared" si="9"/>
        <v>35160.586443310269</v>
      </c>
    </row>
    <row r="78" spans="5:11" x14ac:dyDescent="0.3">
      <c r="G78" s="112">
        <f t="shared" si="6"/>
        <v>71</v>
      </c>
      <c r="H78" s="113">
        <f t="shared" si="5"/>
        <v>-553.13404144093897</v>
      </c>
      <c r="I78" s="114">
        <f t="shared" si="7"/>
        <v>-146.5024435137928</v>
      </c>
      <c r="J78" s="115">
        <f t="shared" si="8"/>
        <v>-406.63159792714617</v>
      </c>
      <c r="K78" s="115">
        <f t="shared" si="9"/>
        <v>34753.954845383123</v>
      </c>
    </row>
    <row r="79" spans="5:11" x14ac:dyDescent="0.3">
      <c r="G79" s="112">
        <f t="shared" si="6"/>
        <v>72</v>
      </c>
      <c r="H79" s="113">
        <f t="shared" si="5"/>
        <v>-553.13404144093897</v>
      </c>
      <c r="I79" s="114">
        <f t="shared" si="7"/>
        <v>-144.80814518909634</v>
      </c>
      <c r="J79" s="115">
        <f t="shared" si="8"/>
        <v>-408.32589625184266</v>
      </c>
      <c r="K79" s="115">
        <f t="shared" si="9"/>
        <v>34345.628949131278</v>
      </c>
    </row>
    <row r="80" spans="5:11" x14ac:dyDescent="0.3">
      <c r="G80" s="112">
        <f t="shared" si="6"/>
        <v>73</v>
      </c>
      <c r="H80" s="113">
        <f t="shared" si="5"/>
        <v>-553.13404144093897</v>
      </c>
      <c r="I80" s="114">
        <f t="shared" si="7"/>
        <v>-143.106787288047</v>
      </c>
      <c r="J80" s="115">
        <f t="shared" si="8"/>
        <v>-410.02725415289194</v>
      </c>
      <c r="K80" s="115">
        <f t="shared" si="9"/>
        <v>33935.601694978388</v>
      </c>
    </row>
    <row r="81" spans="7:11" x14ac:dyDescent="0.3">
      <c r="G81" s="112">
        <f t="shared" si="6"/>
        <v>74</v>
      </c>
      <c r="H81" s="113">
        <f t="shared" si="5"/>
        <v>-553.13404144093897</v>
      </c>
      <c r="I81" s="114">
        <f t="shared" si="7"/>
        <v>-141.39834039574328</v>
      </c>
      <c r="J81" s="115">
        <f t="shared" si="8"/>
        <v>-411.7357010451957</v>
      </c>
      <c r="K81" s="115">
        <f t="shared" si="9"/>
        <v>33523.865993933192</v>
      </c>
    </row>
    <row r="82" spans="7:11" x14ac:dyDescent="0.3">
      <c r="G82" s="112">
        <f t="shared" si="6"/>
        <v>75</v>
      </c>
      <c r="H82" s="113">
        <f t="shared" si="5"/>
        <v>-553.13404144093897</v>
      </c>
      <c r="I82" s="114">
        <f t="shared" si="7"/>
        <v>-139.68277497472164</v>
      </c>
      <c r="J82" s="115">
        <f t="shared" si="8"/>
        <v>-413.45126646621736</v>
      </c>
      <c r="K82" s="115">
        <f t="shared" si="9"/>
        <v>33110.414727466974</v>
      </c>
    </row>
    <row r="83" spans="7:11" x14ac:dyDescent="0.3">
      <c r="G83" s="112">
        <f t="shared" si="6"/>
        <v>76</v>
      </c>
      <c r="H83" s="113">
        <f t="shared" si="5"/>
        <v>-553.13404144093897</v>
      </c>
      <c r="I83" s="114">
        <f t="shared" si="7"/>
        <v>-137.96006136444572</v>
      </c>
      <c r="J83" s="115">
        <f t="shared" si="8"/>
        <v>-415.17398007649325</v>
      </c>
      <c r="K83" s="115">
        <f t="shared" si="9"/>
        <v>32695.240747390482</v>
      </c>
    </row>
    <row r="84" spans="7:11" x14ac:dyDescent="0.3">
      <c r="G84" s="112">
        <f t="shared" si="6"/>
        <v>77</v>
      </c>
      <c r="H84" s="113">
        <f t="shared" si="5"/>
        <v>-553.13404144093897</v>
      </c>
      <c r="I84" s="114">
        <f t="shared" si="7"/>
        <v>-136.23016978079369</v>
      </c>
      <c r="J84" s="115">
        <f t="shared" si="8"/>
        <v>-416.90387166014528</v>
      </c>
      <c r="K84" s="115">
        <f t="shared" si="9"/>
        <v>32278.336875730336</v>
      </c>
    </row>
    <row r="85" spans="7:11" x14ac:dyDescent="0.3">
      <c r="G85" s="112">
        <f t="shared" si="6"/>
        <v>78</v>
      </c>
      <c r="H85" s="113">
        <f t="shared" si="5"/>
        <v>-553.13404144093897</v>
      </c>
      <c r="I85" s="114">
        <f t="shared" si="7"/>
        <v>-134.49307031554306</v>
      </c>
      <c r="J85" s="115">
        <f t="shared" si="8"/>
        <v>-418.64097112539594</v>
      </c>
      <c r="K85" s="115">
        <f t="shared" si="9"/>
        <v>31859.695904604941</v>
      </c>
    </row>
    <row r="86" spans="7:11" x14ac:dyDescent="0.3">
      <c r="G86" s="112">
        <f t="shared" si="6"/>
        <v>79</v>
      </c>
      <c r="H86" s="113">
        <f t="shared" si="5"/>
        <v>-553.13404144093897</v>
      </c>
      <c r="I86" s="114">
        <f t="shared" si="7"/>
        <v>-132.74873293585392</v>
      </c>
      <c r="J86" s="115">
        <f t="shared" si="8"/>
        <v>-420.38530850508505</v>
      </c>
      <c r="K86" s="115">
        <f t="shared" si="9"/>
        <v>31439.310596099858</v>
      </c>
    </row>
    <row r="87" spans="7:11" x14ac:dyDescent="0.3">
      <c r="G87" s="112">
        <f t="shared" si="6"/>
        <v>80</v>
      </c>
      <c r="H87" s="113">
        <f t="shared" si="5"/>
        <v>-553.13404144093897</v>
      </c>
      <c r="I87" s="114">
        <f t="shared" si="7"/>
        <v>-130.99712748374941</v>
      </c>
      <c r="J87" s="115">
        <f t="shared" si="8"/>
        <v>-422.13691395718956</v>
      </c>
      <c r="K87" s="115">
        <f t="shared" si="9"/>
        <v>31017.173682142668</v>
      </c>
    </row>
    <row r="88" spans="7:11" x14ac:dyDescent="0.3">
      <c r="G88" s="112">
        <f t="shared" si="6"/>
        <v>81</v>
      </c>
      <c r="H88" s="113">
        <f t="shared" si="5"/>
        <v>-553.13404144093897</v>
      </c>
      <c r="I88" s="114">
        <f t="shared" si="7"/>
        <v>-129.23822367559444</v>
      </c>
      <c r="J88" s="115">
        <f t="shared" si="8"/>
        <v>-423.89581776534453</v>
      </c>
      <c r="K88" s="115">
        <f t="shared" si="9"/>
        <v>30593.277864377324</v>
      </c>
    </row>
    <row r="89" spans="7:11" x14ac:dyDescent="0.3">
      <c r="G89" s="112">
        <f t="shared" si="6"/>
        <v>82</v>
      </c>
      <c r="H89" s="113">
        <f t="shared" si="5"/>
        <v>-553.13404144093897</v>
      </c>
      <c r="I89" s="114">
        <f t="shared" si="7"/>
        <v>-127.47199110157219</v>
      </c>
      <c r="J89" s="115">
        <f t="shared" si="8"/>
        <v>-425.66205033936677</v>
      </c>
      <c r="K89" s="115">
        <f t="shared" si="9"/>
        <v>30167.615814037956</v>
      </c>
    </row>
    <row r="90" spans="7:11" x14ac:dyDescent="0.3">
      <c r="G90" s="112">
        <f t="shared" si="6"/>
        <v>83</v>
      </c>
      <c r="H90" s="113">
        <f t="shared" si="5"/>
        <v>-553.13404144093897</v>
      </c>
      <c r="I90" s="114">
        <f t="shared" si="7"/>
        <v>-125.69839922515814</v>
      </c>
      <c r="J90" s="115">
        <f t="shared" si="8"/>
        <v>-427.43564221578083</v>
      </c>
      <c r="K90" s="115">
        <f t="shared" si="9"/>
        <v>29740.180171822176</v>
      </c>
    </row>
    <row r="91" spans="7:11" x14ac:dyDescent="0.3">
      <c r="G91" s="112">
        <f t="shared" si="6"/>
        <v>84</v>
      </c>
      <c r="H91" s="113">
        <f t="shared" si="5"/>
        <v>-553.13404144093897</v>
      </c>
      <c r="I91" s="114">
        <f t="shared" si="7"/>
        <v>-123.9174173825924</v>
      </c>
      <c r="J91" s="115">
        <f t="shared" si="8"/>
        <v>-429.21662405834655</v>
      </c>
      <c r="K91" s="115">
        <f t="shared" si="9"/>
        <v>29310.963547763829</v>
      </c>
    </row>
    <row r="92" spans="7:11" x14ac:dyDescent="0.3">
      <c r="G92" s="112">
        <f t="shared" si="6"/>
        <v>85</v>
      </c>
      <c r="H92" s="113">
        <f t="shared" si="5"/>
        <v>-553.13404144093897</v>
      </c>
      <c r="I92" s="114">
        <f t="shared" si="7"/>
        <v>-122.12901478234929</v>
      </c>
      <c r="J92" s="115">
        <f t="shared" si="8"/>
        <v>-431.00502665858971</v>
      </c>
      <c r="K92" s="115">
        <f t="shared" si="9"/>
        <v>28879.95852110524</v>
      </c>
    </row>
    <row r="93" spans="7:11" x14ac:dyDescent="0.3">
      <c r="G93" s="112">
        <f t="shared" si="6"/>
        <v>86</v>
      </c>
      <c r="H93" s="113">
        <f t="shared" si="5"/>
        <v>-553.13404144093897</v>
      </c>
      <c r="I93" s="114">
        <f t="shared" si="7"/>
        <v>-120.33316050460516</v>
      </c>
      <c r="J93" s="115">
        <f t="shared" si="8"/>
        <v>-432.80088093633378</v>
      </c>
      <c r="K93" s="115">
        <f t="shared" si="9"/>
        <v>28447.157640168905</v>
      </c>
    </row>
    <row r="94" spans="7:11" x14ac:dyDescent="0.3">
      <c r="G94" s="112">
        <f t="shared" si="6"/>
        <v>87</v>
      </c>
      <c r="H94" s="113">
        <f t="shared" si="5"/>
        <v>-553.13404144093897</v>
      </c>
      <c r="I94" s="114">
        <f t="shared" si="7"/>
        <v>-118.52982350070377</v>
      </c>
      <c r="J94" s="115">
        <f t="shared" si="8"/>
        <v>-434.60421794023523</v>
      </c>
      <c r="K94" s="115">
        <f t="shared" si="9"/>
        <v>28012.55342222867</v>
      </c>
    </row>
    <row r="95" spans="7:11" x14ac:dyDescent="0.3">
      <c r="G95" s="112">
        <f t="shared" si="6"/>
        <v>88</v>
      </c>
      <c r="H95" s="113">
        <f t="shared" si="5"/>
        <v>-553.13404144093897</v>
      </c>
      <c r="I95" s="114">
        <f t="shared" si="7"/>
        <v>-116.71897259261945</v>
      </c>
      <c r="J95" s="115">
        <f t="shared" si="8"/>
        <v>-436.41506884831949</v>
      </c>
      <c r="K95" s="115">
        <f t="shared" si="9"/>
        <v>27576.138353380349</v>
      </c>
    </row>
    <row r="96" spans="7:11" x14ac:dyDescent="0.3">
      <c r="G96" s="112">
        <f t="shared" si="6"/>
        <v>89</v>
      </c>
      <c r="H96" s="113">
        <f t="shared" si="5"/>
        <v>-553.13404144093897</v>
      </c>
      <c r="I96" s="114">
        <f t="shared" si="7"/>
        <v>-114.90057647241812</v>
      </c>
      <c r="J96" s="115">
        <f t="shared" si="8"/>
        <v>-438.23346496852082</v>
      </c>
      <c r="K96" s="115">
        <f t="shared" si="9"/>
        <v>27137.904888411827</v>
      </c>
    </row>
    <row r="97" spans="7:11" x14ac:dyDescent="0.3">
      <c r="G97" s="112">
        <f t="shared" si="6"/>
        <v>90</v>
      </c>
      <c r="H97" s="113">
        <f t="shared" si="5"/>
        <v>-553.13404144093897</v>
      </c>
      <c r="I97" s="114">
        <f t="shared" si="7"/>
        <v>-113.07460370171594</v>
      </c>
      <c r="J97" s="115">
        <f t="shared" si="8"/>
        <v>-440.05943773922303</v>
      </c>
      <c r="K97" s="115">
        <f t="shared" si="9"/>
        <v>26697.845450672605</v>
      </c>
    </row>
    <row r="98" spans="7:11" x14ac:dyDescent="0.3">
      <c r="G98" s="112">
        <f t="shared" si="6"/>
        <v>91</v>
      </c>
      <c r="H98" s="113">
        <f t="shared" si="5"/>
        <v>-553.13404144093897</v>
      </c>
      <c r="I98" s="114">
        <f t="shared" si="7"/>
        <v>-111.24102271113586</v>
      </c>
      <c r="J98" s="115">
        <f t="shared" si="8"/>
        <v>-441.89301872980309</v>
      </c>
      <c r="K98" s="115">
        <f t="shared" si="9"/>
        <v>26255.952431942802</v>
      </c>
    </row>
    <row r="99" spans="7:11" x14ac:dyDescent="0.3">
      <c r="G99" s="112">
        <f t="shared" si="6"/>
        <v>92</v>
      </c>
      <c r="H99" s="113">
        <f t="shared" si="5"/>
        <v>-553.13404144093897</v>
      </c>
      <c r="I99" s="114">
        <f t="shared" si="7"/>
        <v>-109.39980179976168</v>
      </c>
      <c r="J99" s="115">
        <f t="shared" si="8"/>
        <v>-443.73423964117728</v>
      </c>
      <c r="K99" s="115">
        <f t="shared" si="9"/>
        <v>25812.218192301625</v>
      </c>
    </row>
    <row r="100" spans="7:11" x14ac:dyDescent="0.3">
      <c r="G100" s="112">
        <f t="shared" si="6"/>
        <v>93</v>
      </c>
      <c r="H100" s="113">
        <f t="shared" si="5"/>
        <v>-553.13404144093897</v>
      </c>
      <c r="I100" s="114">
        <f t="shared" si="7"/>
        <v>-107.5509091345901</v>
      </c>
      <c r="J100" s="115">
        <f t="shared" si="8"/>
        <v>-445.58313230634889</v>
      </c>
      <c r="K100" s="115">
        <f t="shared" si="9"/>
        <v>25366.635059995275</v>
      </c>
    </row>
    <row r="101" spans="7:11" x14ac:dyDescent="0.3">
      <c r="G101" s="112">
        <f t="shared" si="6"/>
        <v>94</v>
      </c>
      <c r="H101" s="113">
        <f t="shared" si="5"/>
        <v>-553.13404144093897</v>
      </c>
      <c r="I101" s="114">
        <f t="shared" si="7"/>
        <v>-105.69431274998031</v>
      </c>
      <c r="J101" s="115">
        <f t="shared" si="8"/>
        <v>-447.43972869095865</v>
      </c>
      <c r="K101" s="115">
        <f t="shared" si="9"/>
        <v>24919.195331304316</v>
      </c>
    </row>
    <row r="102" spans="7:11" x14ac:dyDescent="0.3">
      <c r="G102" s="112">
        <f t="shared" si="6"/>
        <v>95</v>
      </c>
      <c r="H102" s="113">
        <f t="shared" si="5"/>
        <v>-553.13404144093897</v>
      </c>
      <c r="I102" s="114">
        <f t="shared" si="7"/>
        <v>-103.82998054710131</v>
      </c>
      <c r="J102" s="115">
        <f t="shared" si="8"/>
        <v>-449.30406089383769</v>
      </c>
      <c r="K102" s="115">
        <f t="shared" si="9"/>
        <v>24469.891270410477</v>
      </c>
    </row>
    <row r="103" spans="7:11" x14ac:dyDescent="0.3">
      <c r="G103" s="112">
        <f t="shared" si="6"/>
        <v>96</v>
      </c>
      <c r="H103" s="113">
        <f t="shared" si="5"/>
        <v>-553.13404144093897</v>
      </c>
      <c r="I103" s="114">
        <f t="shared" si="7"/>
        <v>-101.95788029337699</v>
      </c>
      <c r="J103" s="115">
        <f t="shared" si="8"/>
        <v>-451.17616114756197</v>
      </c>
      <c r="K103" s="115">
        <f t="shared" si="9"/>
        <v>24018.715109262914</v>
      </c>
    </row>
    <row r="104" spans="7:11" x14ac:dyDescent="0.3">
      <c r="G104" s="112">
        <f t="shared" si="6"/>
        <v>97</v>
      </c>
      <c r="H104" s="113">
        <f t="shared" si="5"/>
        <v>-553.13404144093897</v>
      </c>
      <c r="I104" s="114">
        <f t="shared" si="7"/>
        <v>-100.0779796219288</v>
      </c>
      <c r="J104" s="115">
        <f t="shared" si="8"/>
        <v>-453.05606181901015</v>
      </c>
      <c r="K104" s="115">
        <f t="shared" si="9"/>
        <v>23565.659047443904</v>
      </c>
    </row>
    <row r="105" spans="7:11" x14ac:dyDescent="0.3">
      <c r="G105" s="112">
        <f t="shared" si="6"/>
        <v>98</v>
      </c>
      <c r="H105" s="113">
        <f t="shared" ref="H105:H151" si="10">PMT($D$5/12,$D$7,$D$4)</f>
        <v>-553.13404144093897</v>
      </c>
      <c r="I105" s="114">
        <f t="shared" si="7"/>
        <v>-98.190246031016258</v>
      </c>
      <c r="J105" s="115">
        <f t="shared" si="8"/>
        <v>-454.9437954099227</v>
      </c>
      <c r="K105" s="115">
        <f t="shared" si="9"/>
        <v>23110.715252033981</v>
      </c>
    </row>
    <row r="106" spans="7:11" x14ac:dyDescent="0.3">
      <c r="G106" s="112">
        <f t="shared" si="6"/>
        <v>99</v>
      </c>
      <c r="H106" s="113">
        <f t="shared" si="10"/>
        <v>-553.13404144093897</v>
      </c>
      <c r="I106" s="114">
        <f t="shared" si="7"/>
        <v>-96.294646883474911</v>
      </c>
      <c r="J106" s="115">
        <f t="shared" si="8"/>
        <v>-456.83939455746406</v>
      </c>
      <c r="K106" s="115">
        <f t="shared" si="9"/>
        <v>22653.875857476516</v>
      </c>
    </row>
    <row r="107" spans="7:11" x14ac:dyDescent="0.3">
      <c r="G107" s="112">
        <f t="shared" si="6"/>
        <v>100</v>
      </c>
      <c r="H107" s="113">
        <f t="shared" si="10"/>
        <v>-553.13404144093897</v>
      </c>
      <c r="I107" s="114">
        <f t="shared" si="7"/>
        <v>-94.391149406152152</v>
      </c>
      <c r="J107" s="115">
        <f t="shared" si="8"/>
        <v>-458.74289203478679</v>
      </c>
      <c r="K107" s="115">
        <f t="shared" si="9"/>
        <v>22195.132965441728</v>
      </c>
    </row>
    <row r="108" spans="7:11" x14ac:dyDescent="0.3">
      <c r="G108" s="112">
        <f t="shared" si="6"/>
        <v>101</v>
      </c>
      <c r="H108" s="113">
        <f t="shared" si="10"/>
        <v>-553.13404144093897</v>
      </c>
      <c r="I108" s="114">
        <f t="shared" si="7"/>
        <v>-92.479720689340525</v>
      </c>
      <c r="J108" s="115">
        <f t="shared" si="8"/>
        <v>-460.65432075159845</v>
      </c>
      <c r="K108" s="115">
        <f t="shared" si="9"/>
        <v>21734.478644690131</v>
      </c>
    </row>
    <row r="109" spans="7:11" x14ac:dyDescent="0.3">
      <c r="G109" s="112">
        <f t="shared" si="6"/>
        <v>102</v>
      </c>
      <c r="H109" s="113">
        <f t="shared" si="10"/>
        <v>-553.13404144093897</v>
      </c>
      <c r="I109" s="114">
        <f t="shared" si="7"/>
        <v>-90.560327686208879</v>
      </c>
      <c r="J109" s="115">
        <f t="shared" si="8"/>
        <v>-462.57371375473008</v>
      </c>
      <c r="K109" s="115">
        <f t="shared" si="9"/>
        <v>21271.904930935401</v>
      </c>
    </row>
    <row r="110" spans="7:11" x14ac:dyDescent="0.3">
      <c r="G110" s="112">
        <f t="shared" si="6"/>
        <v>103</v>
      </c>
      <c r="H110" s="113">
        <f t="shared" si="10"/>
        <v>-553.13404144093897</v>
      </c>
      <c r="I110" s="114">
        <f t="shared" si="7"/>
        <v>-88.632937212230843</v>
      </c>
      <c r="J110" s="115">
        <f t="shared" si="8"/>
        <v>-464.50110422870813</v>
      </c>
      <c r="K110" s="115">
        <f t="shared" si="9"/>
        <v>20807.403826706694</v>
      </c>
    </row>
    <row r="111" spans="7:11" x14ac:dyDescent="0.3">
      <c r="G111" s="112">
        <f t="shared" si="6"/>
        <v>104</v>
      </c>
      <c r="H111" s="113">
        <f t="shared" si="10"/>
        <v>-553.13404144093897</v>
      </c>
      <c r="I111" s="114">
        <f t="shared" si="7"/>
        <v>-86.697515944611226</v>
      </c>
      <c r="J111" s="115">
        <f t="shared" si="8"/>
        <v>-466.43652549632776</v>
      </c>
      <c r="K111" s="115">
        <f t="shared" si="9"/>
        <v>20340.967301210367</v>
      </c>
    </row>
    <row r="112" spans="7:11" x14ac:dyDescent="0.3">
      <c r="G112" s="112">
        <f t="shared" si="6"/>
        <v>105</v>
      </c>
      <c r="H112" s="113">
        <f t="shared" si="10"/>
        <v>-553.13404144093897</v>
      </c>
      <c r="I112" s="114">
        <f t="shared" si="7"/>
        <v>-84.754030421709857</v>
      </c>
      <c r="J112" s="115">
        <f t="shared" si="8"/>
        <v>-468.38001101922913</v>
      </c>
      <c r="K112" s="115">
        <f t="shared" si="9"/>
        <v>19872.587290191139</v>
      </c>
    </row>
    <row r="113" spans="5:11" x14ac:dyDescent="0.3">
      <c r="G113" s="112">
        <f t="shared" si="6"/>
        <v>106</v>
      </c>
      <c r="H113" s="113">
        <f t="shared" si="10"/>
        <v>-553.13404144093897</v>
      </c>
      <c r="I113" s="114">
        <f t="shared" si="7"/>
        <v>-82.802447042463072</v>
      </c>
      <c r="J113" s="115">
        <f t="shared" si="8"/>
        <v>-470.33159439847589</v>
      </c>
      <c r="K113" s="115">
        <f t="shared" si="9"/>
        <v>19402.255695792664</v>
      </c>
    </row>
    <row r="114" spans="5:11" x14ac:dyDescent="0.3">
      <c r="G114" s="112">
        <f t="shared" si="6"/>
        <v>107</v>
      </c>
      <c r="H114" s="113">
        <f t="shared" si="10"/>
        <v>-553.13404144093897</v>
      </c>
      <c r="I114" s="114">
        <f t="shared" si="7"/>
        <v>-80.842732065802764</v>
      </c>
      <c r="J114" s="115">
        <f t="shared" si="8"/>
        <v>-472.29130937513622</v>
      </c>
      <c r="K114" s="115">
        <f t="shared" si="9"/>
        <v>18929.964386417527</v>
      </c>
    </row>
    <row r="115" spans="5:11" x14ac:dyDescent="0.3">
      <c r="G115" s="112">
        <f t="shared" si="6"/>
        <v>108</v>
      </c>
      <c r="H115" s="113">
        <f t="shared" si="10"/>
        <v>-553.13404144093897</v>
      </c>
      <c r="I115" s="114">
        <f t="shared" si="7"/>
        <v>-78.874851610073023</v>
      </c>
      <c r="J115" s="115">
        <f t="shared" si="8"/>
        <v>-474.25918983086592</v>
      </c>
      <c r="K115" s="115">
        <f t="shared" si="9"/>
        <v>18455.705196586659</v>
      </c>
    </row>
    <row r="116" spans="5:11" x14ac:dyDescent="0.3">
      <c r="G116" s="112">
        <f t="shared" si="6"/>
        <v>109</v>
      </c>
      <c r="H116" s="113">
        <f t="shared" si="10"/>
        <v>-553.13404144093897</v>
      </c>
      <c r="I116" s="114">
        <f t="shared" si="7"/>
        <v>-76.89877165244441</v>
      </c>
      <c r="J116" s="115">
        <f t="shared" si="8"/>
        <v>-476.23526978849458</v>
      </c>
      <c r="K116" s="115">
        <f t="shared" si="9"/>
        <v>17979.469926798163</v>
      </c>
    </row>
    <row r="117" spans="5:11" x14ac:dyDescent="0.3">
      <c r="G117" s="112">
        <f t="shared" si="6"/>
        <v>110</v>
      </c>
      <c r="H117" s="113">
        <f t="shared" si="10"/>
        <v>-553.13404144093897</v>
      </c>
      <c r="I117" s="114">
        <f t="shared" si="7"/>
        <v>-74.914458028325683</v>
      </c>
      <c r="J117" s="115">
        <f t="shared" si="8"/>
        <v>-478.2195834126133</v>
      </c>
      <c r="K117" s="115">
        <f t="shared" si="9"/>
        <v>17501.250343385549</v>
      </c>
    </row>
    <row r="118" spans="5:11" x14ac:dyDescent="0.3">
      <c r="G118" s="112">
        <f t="shared" si="6"/>
        <v>111</v>
      </c>
      <c r="H118" s="113">
        <f t="shared" si="10"/>
        <v>-553.13404144093897</v>
      </c>
      <c r="I118" s="114">
        <f t="shared" si="7"/>
        <v>-72.921876430773125</v>
      </c>
      <c r="J118" s="115">
        <f t="shared" si="8"/>
        <v>-480.21216501016585</v>
      </c>
      <c r="K118" s="115">
        <f t="shared" si="9"/>
        <v>17021.038178375384</v>
      </c>
    </row>
    <row r="119" spans="5:11" x14ac:dyDescent="0.3">
      <c r="G119" s="112">
        <f t="shared" si="6"/>
        <v>112</v>
      </c>
      <c r="H119" s="113">
        <f t="shared" si="10"/>
        <v>-553.13404144093897</v>
      </c>
      <c r="I119" s="114">
        <f t="shared" si="7"/>
        <v>-70.920992409897437</v>
      </c>
      <c r="J119" s="115">
        <f t="shared" si="8"/>
        <v>-482.21304903104152</v>
      </c>
      <c r="K119" s="115">
        <f t="shared" si="9"/>
        <v>16538.825129344343</v>
      </c>
    </row>
    <row r="120" spans="5:11" x14ac:dyDescent="0.3">
      <c r="G120" s="112">
        <f t="shared" si="6"/>
        <v>113</v>
      </c>
      <c r="H120" s="113">
        <f t="shared" si="10"/>
        <v>-553.13404144093897</v>
      </c>
      <c r="I120" s="114">
        <f t="shared" si="7"/>
        <v>-68.911771372268092</v>
      </c>
      <c r="J120" s="115">
        <f t="shared" si="8"/>
        <v>-484.22227006867087</v>
      </c>
      <c r="K120" s="115">
        <f t="shared" si="9"/>
        <v>16054.602859275672</v>
      </c>
    </row>
    <row r="121" spans="5:11" x14ac:dyDescent="0.3">
      <c r="G121" s="112">
        <f t="shared" si="6"/>
        <v>114</v>
      </c>
      <c r="H121" s="113">
        <f t="shared" si="10"/>
        <v>-553.13404144093897</v>
      </c>
      <c r="I121" s="114">
        <f t="shared" si="7"/>
        <v>-66.894178580315298</v>
      </c>
      <c r="J121" s="115">
        <f t="shared" si="8"/>
        <v>-486.2398628606237</v>
      </c>
      <c r="K121" s="115">
        <f t="shared" si="9"/>
        <v>15568.362996415048</v>
      </c>
    </row>
    <row r="122" spans="5:11" x14ac:dyDescent="0.3">
      <c r="G122" s="112">
        <f t="shared" si="6"/>
        <v>115</v>
      </c>
      <c r="H122" s="113">
        <f t="shared" si="10"/>
        <v>-553.13404144093897</v>
      </c>
      <c r="I122" s="114">
        <f t="shared" si="7"/>
        <v>-64.868179151729365</v>
      </c>
      <c r="J122" s="115">
        <f t="shared" si="8"/>
        <v>-488.26586228920962</v>
      </c>
      <c r="K122" s="115">
        <f t="shared" si="9"/>
        <v>15080.097134125837</v>
      </c>
    </row>
    <row r="123" spans="5:11" x14ac:dyDescent="0.3">
      <c r="G123" s="112">
        <f t="shared" si="6"/>
        <v>116</v>
      </c>
      <c r="H123" s="113">
        <f t="shared" si="10"/>
        <v>-553.13404144093897</v>
      </c>
      <c r="I123" s="114">
        <f t="shared" si="7"/>
        <v>-62.833738058857655</v>
      </c>
      <c r="J123" s="115">
        <f t="shared" si="8"/>
        <v>-490.30030338208132</v>
      </c>
      <c r="K123" s="115">
        <f t="shared" si="9"/>
        <v>14589.796830743757</v>
      </c>
    </row>
    <row r="124" spans="5:11" x14ac:dyDescent="0.3">
      <c r="G124" s="112">
        <f t="shared" si="6"/>
        <v>117</v>
      </c>
      <c r="H124" s="113">
        <f t="shared" si="10"/>
        <v>-553.13404144093897</v>
      </c>
      <c r="I124" s="114">
        <f t="shared" si="7"/>
        <v>-60.790820128098986</v>
      </c>
      <c r="J124" s="115">
        <f t="shared" si="8"/>
        <v>-492.34322131284</v>
      </c>
      <c r="K124" s="115">
        <f t="shared" si="9"/>
        <v>14097.453609430917</v>
      </c>
    </row>
    <row r="125" spans="5:11" x14ac:dyDescent="0.3">
      <c r="G125" s="112">
        <f t="shared" si="6"/>
        <v>118</v>
      </c>
      <c r="H125" s="113">
        <f t="shared" si="10"/>
        <v>-553.13404144093897</v>
      </c>
      <c r="I125" s="114">
        <f t="shared" si="7"/>
        <v>-58.739390039295486</v>
      </c>
      <c r="J125" s="115">
        <f t="shared" si="8"/>
        <v>-494.3946514016435</v>
      </c>
      <c r="K125" s="115">
        <f t="shared" si="9"/>
        <v>13603.058958029273</v>
      </c>
    </row>
    <row r="126" spans="5:11" x14ac:dyDescent="0.3">
      <c r="G126" s="112">
        <f t="shared" si="6"/>
        <v>119</v>
      </c>
      <c r="H126" s="113">
        <f t="shared" si="10"/>
        <v>-553.13404144093897</v>
      </c>
      <c r="I126" s="114">
        <f t="shared" si="7"/>
        <v>-56.679412325121966</v>
      </c>
      <c r="J126" s="115">
        <f t="shared" si="8"/>
        <v>-496.454629115817</v>
      </c>
      <c r="K126" s="115">
        <f t="shared" si="9"/>
        <v>13106.604328913456</v>
      </c>
    </row>
    <row r="127" spans="5:11" x14ac:dyDescent="0.3">
      <c r="E127" t="s">
        <v>123</v>
      </c>
      <c r="G127" s="112">
        <f t="shared" si="6"/>
        <v>120</v>
      </c>
      <c r="H127" s="113">
        <f t="shared" si="10"/>
        <v>-553.13404144093897</v>
      </c>
      <c r="I127" s="114">
        <f t="shared" si="7"/>
        <v>-54.61085137047273</v>
      </c>
      <c r="J127" s="115">
        <f t="shared" si="8"/>
        <v>-498.52319007046623</v>
      </c>
      <c r="K127" s="115">
        <f t="shared" si="9"/>
        <v>12608.08113884299</v>
      </c>
    </row>
    <row r="128" spans="5:11" x14ac:dyDescent="0.3">
      <c r="G128" s="153">
        <f t="shared" si="6"/>
        <v>121</v>
      </c>
      <c r="H128" s="113">
        <f t="shared" si="10"/>
        <v>-553.13404144093897</v>
      </c>
      <c r="I128" s="114">
        <f t="shared" ref="I128:I151" si="11">-K127*$D$6</f>
        <v>-52.533671411845795</v>
      </c>
      <c r="J128" s="115">
        <f t="shared" ref="J128:J151" si="12">H128-I128</f>
        <v>-500.6003700290932</v>
      </c>
      <c r="K128" s="115">
        <f t="shared" ref="K128:K151" si="13">K127+J128</f>
        <v>12107.480768813897</v>
      </c>
    </row>
    <row r="129" spans="7:11" x14ac:dyDescent="0.3">
      <c r="G129" s="153">
        <f t="shared" si="6"/>
        <v>122</v>
      </c>
      <c r="H129" s="113">
        <f t="shared" si="10"/>
        <v>-553.13404144093897</v>
      </c>
      <c r="I129" s="114">
        <f t="shared" si="11"/>
        <v>-50.447836536724573</v>
      </c>
      <c r="J129" s="115">
        <f t="shared" si="12"/>
        <v>-502.68620490421438</v>
      </c>
      <c r="K129" s="115">
        <f t="shared" si="13"/>
        <v>11604.794563909683</v>
      </c>
    </row>
    <row r="130" spans="7:11" x14ac:dyDescent="0.3">
      <c r="G130" s="153">
        <f t="shared" si="6"/>
        <v>123</v>
      </c>
      <c r="H130" s="113">
        <f t="shared" si="10"/>
        <v>-553.13404144093897</v>
      </c>
      <c r="I130" s="114">
        <f t="shared" si="11"/>
        <v>-48.353310682957016</v>
      </c>
      <c r="J130" s="115">
        <f t="shared" si="12"/>
        <v>-504.78073075798193</v>
      </c>
      <c r="K130" s="115">
        <f t="shared" si="13"/>
        <v>11100.013833151701</v>
      </c>
    </row>
    <row r="131" spans="7:11" x14ac:dyDescent="0.3">
      <c r="G131" s="153">
        <f t="shared" ref="G131:G194" si="14">G130+1</f>
        <v>124</v>
      </c>
      <c r="H131" s="113">
        <f t="shared" si="10"/>
        <v>-553.13404144093897</v>
      </c>
      <c r="I131" s="114">
        <f t="shared" si="11"/>
        <v>-46.250057638132084</v>
      </c>
      <c r="J131" s="115">
        <f t="shared" si="12"/>
        <v>-506.88398380280688</v>
      </c>
      <c r="K131" s="115">
        <f t="shared" si="13"/>
        <v>10593.129849348894</v>
      </c>
    </row>
    <row r="132" spans="7:11" x14ac:dyDescent="0.3">
      <c r="G132" s="153">
        <f t="shared" si="14"/>
        <v>125</v>
      </c>
      <c r="H132" s="113">
        <f t="shared" si="10"/>
        <v>-553.13404144093897</v>
      </c>
      <c r="I132" s="114">
        <f t="shared" si="11"/>
        <v>-44.138041038953723</v>
      </c>
      <c r="J132" s="115">
        <f t="shared" si="12"/>
        <v>-508.99600040198527</v>
      </c>
      <c r="K132" s="115">
        <f t="shared" si="13"/>
        <v>10084.133848946909</v>
      </c>
    </row>
    <row r="133" spans="7:11" x14ac:dyDescent="0.3">
      <c r="G133" s="153">
        <f t="shared" si="14"/>
        <v>126</v>
      </c>
      <c r="H133" s="113">
        <f t="shared" si="10"/>
        <v>-553.13404144093897</v>
      </c>
      <c r="I133" s="114">
        <f t="shared" si="11"/>
        <v>-42.017224370612119</v>
      </c>
      <c r="J133" s="115">
        <f t="shared" si="12"/>
        <v>-511.11681707032687</v>
      </c>
      <c r="K133" s="115">
        <f t="shared" si="13"/>
        <v>9573.0170318765813</v>
      </c>
    </row>
    <row r="134" spans="7:11" x14ac:dyDescent="0.3">
      <c r="G134" s="153">
        <f t="shared" si="14"/>
        <v>127</v>
      </c>
      <c r="H134" s="113">
        <f t="shared" si="10"/>
        <v>-553.13404144093897</v>
      </c>
      <c r="I134" s="114">
        <f t="shared" si="11"/>
        <v>-39.887570966152424</v>
      </c>
      <c r="J134" s="115">
        <f t="shared" si="12"/>
        <v>-513.24647047478652</v>
      </c>
      <c r="K134" s="115">
        <f t="shared" si="13"/>
        <v>9059.7705614017941</v>
      </c>
    </row>
    <row r="135" spans="7:11" x14ac:dyDescent="0.3">
      <c r="G135" s="153">
        <f t="shared" si="14"/>
        <v>128</v>
      </c>
      <c r="H135" s="113">
        <f t="shared" si="10"/>
        <v>-553.13404144093897</v>
      </c>
      <c r="I135" s="114">
        <f t="shared" si="11"/>
        <v>-37.749044005840808</v>
      </c>
      <c r="J135" s="115">
        <f t="shared" si="12"/>
        <v>-515.38499743509817</v>
      </c>
      <c r="K135" s="115">
        <f t="shared" si="13"/>
        <v>8544.3855639666963</v>
      </c>
    </row>
    <row r="136" spans="7:11" x14ac:dyDescent="0.3">
      <c r="G136" s="153">
        <f t="shared" si="14"/>
        <v>129</v>
      </c>
      <c r="H136" s="113">
        <f t="shared" si="10"/>
        <v>-553.13404144093897</v>
      </c>
      <c r="I136" s="114">
        <f t="shared" si="11"/>
        <v>-35.601606516527902</v>
      </c>
      <c r="J136" s="115">
        <f t="shared" si="12"/>
        <v>-517.53243492441106</v>
      </c>
      <c r="K136" s="115">
        <f t="shared" si="13"/>
        <v>8026.8531290422852</v>
      </c>
    </row>
    <row r="137" spans="7:11" x14ac:dyDescent="0.3">
      <c r="G137" s="153">
        <f t="shared" si="14"/>
        <v>130</v>
      </c>
      <c r="H137" s="113">
        <f t="shared" si="10"/>
        <v>-553.13404144093897</v>
      </c>
      <c r="I137" s="114">
        <f t="shared" si="11"/>
        <v>-33.445221371009524</v>
      </c>
      <c r="J137" s="115">
        <f t="shared" si="12"/>
        <v>-519.68882006992942</v>
      </c>
      <c r="K137" s="115">
        <f t="shared" si="13"/>
        <v>7507.1643089723557</v>
      </c>
    </row>
    <row r="138" spans="7:11" x14ac:dyDescent="0.3">
      <c r="G138" s="153">
        <f t="shared" si="14"/>
        <v>131</v>
      </c>
      <c r="H138" s="113">
        <f t="shared" si="10"/>
        <v>-553.13404144093897</v>
      </c>
      <c r="I138" s="114">
        <f t="shared" si="11"/>
        <v>-31.279851287384815</v>
      </c>
      <c r="J138" s="115">
        <f t="shared" si="12"/>
        <v>-521.8541901535541</v>
      </c>
      <c r="K138" s="115">
        <f t="shared" si="13"/>
        <v>6985.3101188188011</v>
      </c>
    </row>
    <row r="139" spans="7:11" x14ac:dyDescent="0.3">
      <c r="G139" s="153">
        <f t="shared" si="14"/>
        <v>132</v>
      </c>
      <c r="H139" s="113">
        <f t="shared" si="10"/>
        <v>-553.13404144093897</v>
      </c>
      <c r="I139" s="114">
        <f t="shared" si="11"/>
        <v>-29.10545882841167</v>
      </c>
      <c r="J139" s="115">
        <f t="shared" si="12"/>
        <v>-524.02858261252732</v>
      </c>
      <c r="K139" s="115">
        <f t="shared" si="13"/>
        <v>6461.2815362062738</v>
      </c>
    </row>
    <row r="140" spans="7:11" x14ac:dyDescent="0.3">
      <c r="G140" s="153">
        <f t="shared" si="14"/>
        <v>133</v>
      </c>
      <c r="H140" s="113">
        <f t="shared" si="10"/>
        <v>-553.13404144093897</v>
      </c>
      <c r="I140" s="114">
        <f t="shared" si="11"/>
        <v>-26.922006400859473</v>
      </c>
      <c r="J140" s="115">
        <f t="shared" si="12"/>
        <v>-526.21203504007951</v>
      </c>
      <c r="K140" s="115">
        <f t="shared" si="13"/>
        <v>5935.0695011661946</v>
      </c>
    </row>
    <row r="141" spans="7:11" x14ac:dyDescent="0.3">
      <c r="G141" s="153">
        <f t="shared" si="14"/>
        <v>134</v>
      </c>
      <c r="H141" s="113">
        <f t="shared" si="10"/>
        <v>-553.13404144093897</v>
      </c>
      <c r="I141" s="114">
        <f t="shared" si="11"/>
        <v>-24.729456254859144</v>
      </c>
      <c r="J141" s="115">
        <f t="shared" si="12"/>
        <v>-528.40458518607988</v>
      </c>
      <c r="K141" s="115">
        <f t="shared" si="13"/>
        <v>5406.6649159801145</v>
      </c>
    </row>
    <row r="142" spans="7:11" x14ac:dyDescent="0.3">
      <c r="G142" s="153">
        <f t="shared" si="14"/>
        <v>135</v>
      </c>
      <c r="H142" s="113">
        <f t="shared" si="10"/>
        <v>-553.13404144093897</v>
      </c>
      <c r="I142" s="114">
        <f t="shared" si="11"/>
        <v>-22.527770483250478</v>
      </c>
      <c r="J142" s="115">
        <f t="shared" si="12"/>
        <v>-530.60627095768848</v>
      </c>
      <c r="K142" s="115">
        <f t="shared" si="13"/>
        <v>4876.0586450224264</v>
      </c>
    </row>
    <row r="143" spans="7:11" x14ac:dyDescent="0.3">
      <c r="G143" s="153">
        <f t="shared" si="14"/>
        <v>136</v>
      </c>
      <c r="H143" s="113">
        <f t="shared" si="10"/>
        <v>-553.13404144093897</v>
      </c>
      <c r="I143" s="114">
        <f t="shared" si="11"/>
        <v>-20.316911020926778</v>
      </c>
      <c r="J143" s="115">
        <f t="shared" si="12"/>
        <v>-532.81713042001218</v>
      </c>
      <c r="K143" s="115">
        <f t="shared" si="13"/>
        <v>4343.2415146024141</v>
      </c>
    </row>
    <row r="144" spans="7:11" x14ac:dyDescent="0.3">
      <c r="G144" s="153">
        <f t="shared" si="14"/>
        <v>137</v>
      </c>
      <c r="H144" s="113">
        <f t="shared" si="10"/>
        <v>-553.13404144093897</v>
      </c>
      <c r="I144" s="114">
        <f t="shared" si="11"/>
        <v>-18.096839644176725</v>
      </c>
      <c r="J144" s="115">
        <f t="shared" si="12"/>
        <v>-535.03720179676225</v>
      </c>
      <c r="K144" s="115">
        <f t="shared" si="13"/>
        <v>3808.2043128056521</v>
      </c>
    </row>
    <row r="145" spans="5:11" x14ac:dyDescent="0.3">
      <c r="G145" s="153">
        <f t="shared" si="14"/>
        <v>138</v>
      </c>
      <c r="H145" s="113">
        <f t="shared" si="10"/>
        <v>-553.13404144093897</v>
      </c>
      <c r="I145" s="114">
        <f t="shared" si="11"/>
        <v>-15.867517970023551</v>
      </c>
      <c r="J145" s="115">
        <f t="shared" si="12"/>
        <v>-537.26652347091544</v>
      </c>
      <c r="K145" s="115">
        <f t="shared" si="13"/>
        <v>3270.9377893347364</v>
      </c>
    </row>
    <row r="146" spans="5:11" x14ac:dyDescent="0.3">
      <c r="G146" s="153">
        <f t="shared" si="14"/>
        <v>139</v>
      </c>
      <c r="H146" s="113">
        <f t="shared" si="10"/>
        <v>-553.13404144093897</v>
      </c>
      <c r="I146" s="114">
        <f t="shared" si="11"/>
        <v>-13.628907455561402</v>
      </c>
      <c r="J146" s="115">
        <f t="shared" si="12"/>
        <v>-539.5051339853776</v>
      </c>
      <c r="K146" s="115">
        <f t="shared" si="13"/>
        <v>2731.4326553493588</v>
      </c>
    </row>
    <row r="147" spans="5:11" x14ac:dyDescent="0.3">
      <c r="G147" s="153">
        <f t="shared" si="14"/>
        <v>140</v>
      </c>
      <c r="H147" s="113">
        <f t="shared" si="10"/>
        <v>-553.13404144093897</v>
      </c>
      <c r="I147" s="114">
        <f t="shared" si="11"/>
        <v>-11.380969397288995</v>
      </c>
      <c r="J147" s="115">
        <f t="shared" si="12"/>
        <v>-541.75307204364992</v>
      </c>
      <c r="K147" s="115">
        <f t="shared" si="13"/>
        <v>2189.679583305709</v>
      </c>
    </row>
    <row r="148" spans="5:11" x14ac:dyDescent="0.3">
      <c r="G148" s="153">
        <f t="shared" si="14"/>
        <v>141</v>
      </c>
      <c r="H148" s="113">
        <f t="shared" si="10"/>
        <v>-553.13404144093897</v>
      </c>
      <c r="I148" s="114">
        <f t="shared" si="11"/>
        <v>-9.1236649304404533</v>
      </c>
      <c r="J148" s="115">
        <f t="shared" si="12"/>
        <v>-544.01037651049853</v>
      </c>
      <c r="K148" s="115">
        <f t="shared" si="13"/>
        <v>1645.6692067952104</v>
      </c>
    </row>
    <row r="149" spans="5:11" x14ac:dyDescent="0.3">
      <c r="G149" s="153">
        <f t="shared" si="14"/>
        <v>142</v>
      </c>
      <c r="H149" s="113">
        <f t="shared" si="10"/>
        <v>-553.13404144093897</v>
      </c>
      <c r="I149" s="114">
        <f t="shared" si="11"/>
        <v>-6.8569550283133767</v>
      </c>
      <c r="J149" s="115">
        <f t="shared" si="12"/>
        <v>-546.27708641262564</v>
      </c>
      <c r="K149" s="115">
        <f t="shared" si="13"/>
        <v>1099.3921203825848</v>
      </c>
    </row>
    <row r="150" spans="5:11" x14ac:dyDescent="0.3">
      <c r="G150" s="153">
        <f t="shared" si="14"/>
        <v>143</v>
      </c>
      <c r="H150" s="113">
        <f t="shared" si="10"/>
        <v>-553.13404144093897</v>
      </c>
      <c r="I150" s="114">
        <f t="shared" si="11"/>
        <v>-4.5808005015941031</v>
      </c>
      <c r="J150" s="115">
        <f t="shared" si="12"/>
        <v>-548.55324093934485</v>
      </c>
      <c r="K150" s="115">
        <f t="shared" si="13"/>
        <v>550.83887944323999</v>
      </c>
    </row>
    <row r="151" spans="5:11" x14ac:dyDescent="0.3">
      <c r="E151" t="s">
        <v>145</v>
      </c>
      <c r="G151" s="236">
        <f t="shared" si="14"/>
        <v>144</v>
      </c>
      <c r="H151" s="113">
        <f t="shared" si="10"/>
        <v>-553.13404144093897</v>
      </c>
      <c r="I151" s="114">
        <f t="shared" si="11"/>
        <v>-2.2951619976801667</v>
      </c>
      <c r="J151" s="115">
        <f t="shared" si="12"/>
        <v>-550.83887944325886</v>
      </c>
      <c r="K151" s="115">
        <f t="shared" si="13"/>
        <v>-1.8872015061788261E-11</v>
      </c>
    </row>
    <row r="152" spans="5:11" x14ac:dyDescent="0.3">
      <c r="G152" s="153">
        <f t="shared" si="14"/>
        <v>145</v>
      </c>
      <c r="H152" s="17"/>
      <c r="I152" s="18"/>
      <c r="J152" s="19"/>
      <c r="K152" s="19"/>
    </row>
    <row r="153" spans="5:11" x14ac:dyDescent="0.3">
      <c r="G153" s="153">
        <f t="shared" si="14"/>
        <v>146</v>
      </c>
      <c r="H153" s="17"/>
      <c r="I153" s="18"/>
      <c r="J153" s="19"/>
      <c r="K153" s="19"/>
    </row>
    <row r="154" spans="5:11" x14ac:dyDescent="0.3">
      <c r="G154" s="153">
        <f t="shared" si="14"/>
        <v>147</v>
      </c>
      <c r="H154" s="17"/>
      <c r="I154" s="18"/>
      <c r="J154" s="19"/>
      <c r="K154" s="19"/>
    </row>
    <row r="155" spans="5:11" x14ac:dyDescent="0.3">
      <c r="G155" s="153">
        <f t="shared" si="14"/>
        <v>148</v>
      </c>
      <c r="H155" s="17"/>
      <c r="I155" s="18"/>
      <c r="J155" s="19"/>
      <c r="K155" s="19"/>
    </row>
    <row r="156" spans="5:11" x14ac:dyDescent="0.3">
      <c r="G156" s="153">
        <f t="shared" si="14"/>
        <v>149</v>
      </c>
      <c r="H156" s="17"/>
      <c r="I156" s="18"/>
      <c r="J156" s="19"/>
      <c r="K156" s="19"/>
    </row>
    <row r="157" spans="5:11" x14ac:dyDescent="0.3">
      <c r="G157" s="153">
        <f t="shared" si="14"/>
        <v>150</v>
      </c>
      <c r="H157" s="17"/>
      <c r="I157" s="18"/>
      <c r="J157" s="19"/>
      <c r="K157" s="19"/>
    </row>
    <row r="158" spans="5:11" x14ac:dyDescent="0.3">
      <c r="G158" s="153">
        <f t="shared" si="14"/>
        <v>151</v>
      </c>
      <c r="H158" s="17"/>
      <c r="I158" s="18"/>
      <c r="J158" s="19"/>
      <c r="K158" s="19"/>
    </row>
    <row r="159" spans="5:11" x14ac:dyDescent="0.3">
      <c r="G159" s="153">
        <f t="shared" si="14"/>
        <v>152</v>
      </c>
      <c r="H159" s="17"/>
      <c r="I159" s="18"/>
      <c r="J159" s="19"/>
      <c r="K159" s="19"/>
    </row>
    <row r="160" spans="5:11" x14ac:dyDescent="0.3">
      <c r="G160" s="153">
        <f t="shared" si="14"/>
        <v>153</v>
      </c>
      <c r="H160" s="17"/>
      <c r="I160" s="18"/>
      <c r="J160" s="19"/>
      <c r="K160" s="19"/>
    </row>
    <row r="161" spans="7:11" x14ac:dyDescent="0.3">
      <c r="G161" s="153">
        <f t="shared" si="14"/>
        <v>154</v>
      </c>
      <c r="H161" s="17"/>
      <c r="I161" s="18"/>
      <c r="J161" s="19"/>
      <c r="K161" s="19"/>
    </row>
    <row r="162" spans="7:11" x14ac:dyDescent="0.3">
      <c r="G162" s="153">
        <f t="shared" si="14"/>
        <v>155</v>
      </c>
      <c r="H162" s="17"/>
      <c r="I162" s="18"/>
      <c r="J162" s="19"/>
      <c r="K162" s="19"/>
    </row>
    <row r="163" spans="7:11" x14ac:dyDescent="0.3">
      <c r="G163" s="153">
        <f t="shared" si="14"/>
        <v>156</v>
      </c>
      <c r="H163" s="17"/>
      <c r="I163" s="18"/>
      <c r="J163" s="19"/>
      <c r="K163" s="19"/>
    </row>
    <row r="164" spans="7:11" x14ac:dyDescent="0.3">
      <c r="G164" s="153">
        <f t="shared" si="14"/>
        <v>157</v>
      </c>
      <c r="H164" s="17"/>
      <c r="I164" s="18"/>
      <c r="J164" s="19"/>
      <c r="K164" s="19"/>
    </row>
    <row r="165" spans="7:11" x14ac:dyDescent="0.3">
      <c r="G165" s="153">
        <f t="shared" si="14"/>
        <v>158</v>
      </c>
      <c r="H165" s="17"/>
      <c r="I165" s="18"/>
      <c r="J165" s="19"/>
      <c r="K165" s="19"/>
    </row>
    <row r="166" spans="7:11" x14ac:dyDescent="0.3">
      <c r="G166" s="153">
        <f t="shared" si="14"/>
        <v>159</v>
      </c>
      <c r="H166" s="17"/>
      <c r="I166" s="18"/>
      <c r="J166" s="19"/>
      <c r="K166" s="19"/>
    </row>
    <row r="167" spans="7:11" x14ac:dyDescent="0.3">
      <c r="G167" s="153">
        <f t="shared" si="14"/>
        <v>160</v>
      </c>
      <c r="H167" s="17"/>
      <c r="I167" s="18"/>
      <c r="J167" s="19"/>
      <c r="K167" s="19"/>
    </row>
    <row r="168" spans="7:11" x14ac:dyDescent="0.3">
      <c r="G168" s="153">
        <f t="shared" si="14"/>
        <v>161</v>
      </c>
      <c r="H168" s="17"/>
      <c r="I168" s="18"/>
      <c r="J168" s="19"/>
      <c r="K168" s="19"/>
    </row>
    <row r="169" spans="7:11" x14ac:dyDescent="0.3">
      <c r="G169" s="153">
        <f t="shared" si="14"/>
        <v>162</v>
      </c>
      <c r="H169" s="17"/>
      <c r="I169" s="18"/>
      <c r="J169" s="19"/>
      <c r="K169" s="19"/>
    </row>
    <row r="170" spans="7:11" x14ac:dyDescent="0.3">
      <c r="G170" s="153">
        <f t="shared" si="14"/>
        <v>163</v>
      </c>
      <c r="H170" s="17"/>
      <c r="I170" s="18"/>
      <c r="J170" s="19"/>
      <c r="K170" s="19"/>
    </row>
    <row r="171" spans="7:11" x14ac:dyDescent="0.3">
      <c r="G171" s="153">
        <f t="shared" si="14"/>
        <v>164</v>
      </c>
      <c r="H171" s="17"/>
      <c r="I171" s="18"/>
      <c r="J171" s="19"/>
      <c r="K171" s="19"/>
    </row>
    <row r="172" spans="7:11" x14ac:dyDescent="0.3">
      <c r="G172" s="153">
        <f t="shared" si="14"/>
        <v>165</v>
      </c>
      <c r="H172" s="17"/>
      <c r="I172" s="18"/>
      <c r="J172" s="19"/>
      <c r="K172" s="19"/>
    </row>
    <row r="173" spans="7:11" x14ac:dyDescent="0.3">
      <c r="G173" s="153">
        <f t="shared" si="14"/>
        <v>166</v>
      </c>
      <c r="H173" s="17"/>
      <c r="I173" s="18"/>
      <c r="J173" s="19"/>
      <c r="K173" s="19"/>
    </row>
    <row r="174" spans="7:11" x14ac:dyDescent="0.3">
      <c r="G174" s="153">
        <f t="shared" si="14"/>
        <v>167</v>
      </c>
      <c r="H174" s="17"/>
      <c r="I174" s="18"/>
      <c r="J174" s="19"/>
      <c r="K174" s="19"/>
    </row>
    <row r="175" spans="7:11" x14ac:dyDescent="0.3">
      <c r="G175" s="153">
        <f t="shared" si="14"/>
        <v>168</v>
      </c>
      <c r="H175" s="17"/>
      <c r="I175" s="18"/>
      <c r="J175" s="19"/>
      <c r="K175" s="19"/>
    </row>
    <row r="176" spans="7:11" x14ac:dyDescent="0.3">
      <c r="G176" s="153">
        <f t="shared" si="14"/>
        <v>169</v>
      </c>
      <c r="H176" s="17"/>
      <c r="I176" s="18"/>
      <c r="J176" s="19"/>
      <c r="K176" s="19"/>
    </row>
    <row r="177" spans="7:11" x14ac:dyDescent="0.3">
      <c r="G177" s="153">
        <f t="shared" si="14"/>
        <v>170</v>
      </c>
      <c r="H177" s="17"/>
      <c r="I177" s="18"/>
      <c r="J177" s="19"/>
      <c r="K177" s="19"/>
    </row>
    <row r="178" spans="7:11" x14ac:dyDescent="0.3">
      <c r="G178" s="153">
        <f t="shared" si="14"/>
        <v>171</v>
      </c>
      <c r="H178" s="17"/>
      <c r="I178" s="18"/>
      <c r="J178" s="19"/>
      <c r="K178" s="19"/>
    </row>
    <row r="179" spans="7:11" x14ac:dyDescent="0.3">
      <c r="G179" s="153">
        <f t="shared" si="14"/>
        <v>172</v>
      </c>
      <c r="H179" s="17"/>
      <c r="I179" s="18"/>
      <c r="J179" s="19"/>
      <c r="K179" s="19"/>
    </row>
    <row r="180" spans="7:11" x14ac:dyDescent="0.3">
      <c r="G180" s="153">
        <f t="shared" si="14"/>
        <v>173</v>
      </c>
      <c r="H180" s="17"/>
      <c r="I180" s="18"/>
      <c r="J180" s="19"/>
      <c r="K180" s="19"/>
    </row>
    <row r="181" spans="7:11" x14ac:dyDescent="0.3">
      <c r="G181" s="153">
        <f t="shared" si="14"/>
        <v>174</v>
      </c>
      <c r="H181" s="17"/>
      <c r="I181" s="18"/>
      <c r="J181" s="19"/>
      <c r="K181" s="19"/>
    </row>
    <row r="182" spans="7:11" x14ac:dyDescent="0.3">
      <c r="G182" s="153">
        <f t="shared" si="14"/>
        <v>175</v>
      </c>
      <c r="H182" s="17"/>
      <c r="I182" s="18"/>
      <c r="J182" s="19"/>
      <c r="K182" s="19"/>
    </row>
    <row r="183" spans="7:11" x14ac:dyDescent="0.3">
      <c r="G183" s="153">
        <f t="shared" si="14"/>
        <v>176</v>
      </c>
      <c r="H183" s="17"/>
      <c r="I183" s="18"/>
      <c r="J183" s="19"/>
      <c r="K183" s="19"/>
    </row>
    <row r="184" spans="7:11" x14ac:dyDescent="0.3">
      <c r="G184" s="153">
        <f t="shared" si="14"/>
        <v>177</v>
      </c>
      <c r="H184" s="17"/>
      <c r="I184" s="18"/>
      <c r="J184" s="19"/>
      <c r="K184" s="19"/>
    </row>
    <row r="185" spans="7:11" x14ac:dyDescent="0.3">
      <c r="G185" s="153">
        <f t="shared" si="14"/>
        <v>178</v>
      </c>
      <c r="H185" s="17"/>
      <c r="I185" s="18"/>
      <c r="J185" s="19"/>
      <c r="K185" s="19"/>
    </row>
    <row r="186" spans="7:11" x14ac:dyDescent="0.3">
      <c r="G186" s="153">
        <f t="shared" si="14"/>
        <v>179</v>
      </c>
      <c r="H186" s="17"/>
      <c r="I186" s="18"/>
      <c r="J186" s="19"/>
      <c r="K186" s="19"/>
    </row>
    <row r="187" spans="7:11" x14ac:dyDescent="0.3">
      <c r="G187" s="153">
        <f t="shared" si="14"/>
        <v>180</v>
      </c>
      <c r="H187" s="17"/>
      <c r="I187" s="18"/>
      <c r="J187" s="19"/>
      <c r="K187" s="19"/>
    </row>
    <row r="188" spans="7:11" x14ac:dyDescent="0.3">
      <c r="G188" s="153">
        <f t="shared" si="14"/>
        <v>181</v>
      </c>
      <c r="H188" s="17"/>
      <c r="I188" s="18"/>
      <c r="J188" s="19"/>
      <c r="K188" s="19"/>
    </row>
    <row r="189" spans="7:11" x14ac:dyDescent="0.3">
      <c r="G189" s="153">
        <f t="shared" si="14"/>
        <v>182</v>
      </c>
      <c r="H189" s="17"/>
      <c r="I189" s="18"/>
      <c r="J189" s="19"/>
      <c r="K189" s="19"/>
    </row>
    <row r="190" spans="7:11" x14ac:dyDescent="0.3">
      <c r="G190" s="153">
        <f t="shared" si="14"/>
        <v>183</v>
      </c>
      <c r="H190" s="17"/>
      <c r="I190" s="18"/>
      <c r="J190" s="19"/>
      <c r="K190" s="19"/>
    </row>
    <row r="191" spans="7:11" x14ac:dyDescent="0.3">
      <c r="G191" s="153">
        <f t="shared" si="14"/>
        <v>184</v>
      </c>
      <c r="H191" s="17"/>
      <c r="I191" s="18"/>
      <c r="J191" s="19"/>
      <c r="K191" s="19"/>
    </row>
    <row r="192" spans="7:11" x14ac:dyDescent="0.3">
      <c r="G192" s="153">
        <f t="shared" si="14"/>
        <v>185</v>
      </c>
      <c r="H192" s="17"/>
      <c r="I192" s="18"/>
      <c r="J192" s="19"/>
      <c r="K192" s="19"/>
    </row>
    <row r="193" spans="7:11" x14ac:dyDescent="0.3">
      <c r="G193" s="153">
        <f t="shared" si="14"/>
        <v>186</v>
      </c>
      <c r="H193" s="17"/>
      <c r="I193" s="18"/>
      <c r="J193" s="19"/>
      <c r="K193" s="19"/>
    </row>
    <row r="194" spans="7:11" x14ac:dyDescent="0.3">
      <c r="G194" s="153">
        <f t="shared" si="14"/>
        <v>187</v>
      </c>
      <c r="H194" s="17"/>
      <c r="I194" s="18"/>
      <c r="J194" s="19"/>
      <c r="K194" s="19"/>
    </row>
    <row r="195" spans="7:11" x14ac:dyDescent="0.3">
      <c r="G195" s="153">
        <f t="shared" ref="G195:G247" si="15">G194+1</f>
        <v>188</v>
      </c>
      <c r="H195" s="17"/>
      <c r="I195" s="18"/>
      <c r="J195" s="19"/>
      <c r="K195" s="19"/>
    </row>
    <row r="196" spans="7:11" x14ac:dyDescent="0.3">
      <c r="G196" s="153">
        <f t="shared" si="15"/>
        <v>189</v>
      </c>
      <c r="H196" s="17"/>
      <c r="I196" s="18"/>
      <c r="J196" s="19"/>
      <c r="K196" s="19"/>
    </row>
    <row r="197" spans="7:11" x14ac:dyDescent="0.3">
      <c r="G197" s="153">
        <f t="shared" si="15"/>
        <v>190</v>
      </c>
      <c r="H197" s="17"/>
      <c r="I197" s="18"/>
      <c r="J197" s="19"/>
      <c r="K197" s="19"/>
    </row>
    <row r="198" spans="7:11" x14ac:dyDescent="0.3">
      <c r="G198" s="153">
        <f t="shared" si="15"/>
        <v>191</v>
      </c>
      <c r="H198" s="17"/>
      <c r="I198" s="18"/>
      <c r="J198" s="19"/>
      <c r="K198" s="19"/>
    </row>
    <row r="199" spans="7:11" x14ac:dyDescent="0.3">
      <c r="G199" s="153">
        <f t="shared" si="15"/>
        <v>192</v>
      </c>
      <c r="H199" s="17"/>
      <c r="I199" s="18"/>
      <c r="J199" s="19"/>
      <c r="K199" s="19"/>
    </row>
    <row r="200" spans="7:11" x14ac:dyDescent="0.3">
      <c r="G200" s="153">
        <f t="shared" si="15"/>
        <v>193</v>
      </c>
      <c r="H200" s="17"/>
      <c r="I200" s="18"/>
      <c r="J200" s="19"/>
      <c r="K200" s="19"/>
    </row>
    <row r="201" spans="7:11" x14ac:dyDescent="0.3">
      <c r="G201" s="153">
        <f t="shared" si="15"/>
        <v>194</v>
      </c>
      <c r="H201" s="17"/>
      <c r="I201" s="18"/>
      <c r="J201" s="19"/>
      <c r="K201" s="19"/>
    </row>
    <row r="202" spans="7:11" x14ac:dyDescent="0.3">
      <c r="G202" s="153">
        <f t="shared" si="15"/>
        <v>195</v>
      </c>
      <c r="H202" s="17"/>
      <c r="I202" s="18"/>
      <c r="J202" s="19"/>
      <c r="K202" s="19"/>
    </row>
    <row r="203" spans="7:11" x14ac:dyDescent="0.3">
      <c r="G203" s="153">
        <f t="shared" si="15"/>
        <v>196</v>
      </c>
      <c r="H203" s="17"/>
      <c r="I203" s="18"/>
      <c r="J203" s="19"/>
      <c r="K203" s="19"/>
    </row>
    <row r="204" spans="7:11" x14ac:dyDescent="0.3">
      <c r="G204" s="153">
        <f t="shared" si="15"/>
        <v>197</v>
      </c>
      <c r="H204" s="17"/>
      <c r="I204" s="18"/>
      <c r="J204" s="19"/>
      <c r="K204" s="19"/>
    </row>
    <row r="205" spans="7:11" x14ac:dyDescent="0.3">
      <c r="G205" s="153">
        <f t="shared" si="15"/>
        <v>198</v>
      </c>
      <c r="H205" s="17"/>
      <c r="I205" s="18"/>
      <c r="J205" s="19"/>
      <c r="K205" s="19"/>
    </row>
    <row r="206" spans="7:11" x14ac:dyDescent="0.3">
      <c r="G206" s="153">
        <f t="shared" si="15"/>
        <v>199</v>
      </c>
      <c r="H206" s="17"/>
      <c r="I206" s="18"/>
      <c r="J206" s="19"/>
      <c r="K206" s="19"/>
    </row>
    <row r="207" spans="7:11" x14ac:dyDescent="0.3">
      <c r="G207" s="153">
        <f t="shared" si="15"/>
        <v>200</v>
      </c>
      <c r="H207" s="17"/>
      <c r="I207" s="18"/>
      <c r="J207" s="19"/>
      <c r="K207" s="19"/>
    </row>
    <row r="208" spans="7:11" x14ac:dyDescent="0.3">
      <c r="G208" s="153">
        <f t="shared" si="15"/>
        <v>201</v>
      </c>
      <c r="H208" s="17"/>
      <c r="I208" s="18"/>
      <c r="J208" s="19"/>
      <c r="K208" s="19"/>
    </row>
    <row r="209" spans="7:11" x14ac:dyDescent="0.3">
      <c r="G209" s="153">
        <f t="shared" si="15"/>
        <v>202</v>
      </c>
      <c r="H209" s="17"/>
      <c r="I209" s="18"/>
      <c r="J209" s="19"/>
      <c r="K209" s="19"/>
    </row>
    <row r="210" spans="7:11" x14ac:dyDescent="0.3">
      <c r="G210" s="153">
        <f t="shared" si="15"/>
        <v>203</v>
      </c>
      <c r="H210" s="17"/>
      <c r="I210" s="18"/>
      <c r="J210" s="19"/>
      <c r="K210" s="19"/>
    </row>
    <row r="211" spans="7:11" x14ac:dyDescent="0.3">
      <c r="G211" s="153">
        <f t="shared" si="15"/>
        <v>204</v>
      </c>
      <c r="H211" s="17"/>
      <c r="I211" s="18"/>
      <c r="J211" s="19"/>
      <c r="K211" s="19"/>
    </row>
    <row r="212" spans="7:11" x14ac:dyDescent="0.3">
      <c r="G212" s="153">
        <f t="shared" si="15"/>
        <v>205</v>
      </c>
      <c r="H212" s="17"/>
      <c r="I212" s="18"/>
      <c r="J212" s="19"/>
      <c r="K212" s="19"/>
    </row>
    <row r="213" spans="7:11" x14ac:dyDescent="0.3">
      <c r="G213" s="153">
        <f t="shared" si="15"/>
        <v>206</v>
      </c>
      <c r="H213" s="17"/>
      <c r="I213" s="18"/>
      <c r="J213" s="19"/>
      <c r="K213" s="19"/>
    </row>
    <row r="214" spans="7:11" x14ac:dyDescent="0.3">
      <c r="G214" s="153">
        <f t="shared" si="15"/>
        <v>207</v>
      </c>
      <c r="H214" s="17"/>
      <c r="I214" s="18"/>
      <c r="J214" s="19"/>
      <c r="K214" s="19"/>
    </row>
    <row r="215" spans="7:11" x14ac:dyDescent="0.3">
      <c r="G215" s="153">
        <f t="shared" si="15"/>
        <v>208</v>
      </c>
      <c r="H215" s="17"/>
      <c r="I215" s="18"/>
      <c r="J215" s="19"/>
      <c r="K215" s="19"/>
    </row>
    <row r="216" spans="7:11" x14ac:dyDescent="0.3">
      <c r="G216" s="153">
        <f t="shared" si="15"/>
        <v>209</v>
      </c>
      <c r="H216" s="17"/>
      <c r="I216" s="18"/>
      <c r="J216" s="19"/>
      <c r="K216" s="19"/>
    </row>
    <row r="217" spans="7:11" x14ac:dyDescent="0.3">
      <c r="G217" s="153">
        <f t="shared" si="15"/>
        <v>210</v>
      </c>
      <c r="H217" s="17"/>
      <c r="I217" s="18"/>
      <c r="J217" s="19"/>
      <c r="K217" s="19"/>
    </row>
    <row r="218" spans="7:11" x14ac:dyDescent="0.3">
      <c r="G218" s="153">
        <f t="shared" si="15"/>
        <v>211</v>
      </c>
      <c r="H218" s="17"/>
      <c r="I218" s="18"/>
      <c r="J218" s="19"/>
      <c r="K218" s="19"/>
    </row>
    <row r="219" spans="7:11" x14ac:dyDescent="0.3">
      <c r="G219" s="153">
        <f t="shared" si="15"/>
        <v>212</v>
      </c>
      <c r="H219" s="17"/>
      <c r="I219" s="18"/>
      <c r="J219" s="19"/>
      <c r="K219" s="19"/>
    </row>
    <row r="220" spans="7:11" x14ac:dyDescent="0.3">
      <c r="G220" s="153">
        <f t="shared" si="15"/>
        <v>213</v>
      </c>
      <c r="H220" s="17"/>
      <c r="I220" s="18"/>
      <c r="J220" s="19"/>
      <c r="K220" s="19"/>
    </row>
    <row r="221" spans="7:11" x14ac:dyDescent="0.3">
      <c r="G221" s="153">
        <f t="shared" si="15"/>
        <v>214</v>
      </c>
      <c r="H221" s="17"/>
      <c r="I221" s="18"/>
      <c r="J221" s="19"/>
      <c r="K221" s="19"/>
    </row>
    <row r="222" spans="7:11" x14ac:dyDescent="0.3">
      <c r="G222" s="153">
        <f t="shared" si="15"/>
        <v>215</v>
      </c>
      <c r="H222" s="17"/>
      <c r="I222" s="18"/>
      <c r="J222" s="19"/>
      <c r="K222" s="19"/>
    </row>
    <row r="223" spans="7:11" x14ac:dyDescent="0.3">
      <c r="G223" s="153">
        <f t="shared" si="15"/>
        <v>216</v>
      </c>
      <c r="H223" s="17"/>
      <c r="I223" s="18"/>
      <c r="J223" s="19"/>
      <c r="K223" s="19"/>
    </row>
    <row r="224" spans="7:11" x14ac:dyDescent="0.3">
      <c r="G224" s="153">
        <f t="shared" si="15"/>
        <v>217</v>
      </c>
      <c r="H224" s="17"/>
      <c r="I224" s="18"/>
      <c r="J224" s="19"/>
      <c r="K224" s="19"/>
    </row>
    <row r="225" spans="7:11" x14ac:dyDescent="0.3">
      <c r="G225" s="153">
        <f t="shared" si="15"/>
        <v>218</v>
      </c>
      <c r="H225" s="17"/>
      <c r="I225" s="18"/>
      <c r="J225" s="19"/>
      <c r="K225" s="19"/>
    </row>
    <row r="226" spans="7:11" x14ac:dyDescent="0.3">
      <c r="G226" s="153">
        <f t="shared" si="15"/>
        <v>219</v>
      </c>
      <c r="H226" s="17"/>
      <c r="I226" s="18"/>
      <c r="J226" s="19"/>
      <c r="K226" s="19"/>
    </row>
    <row r="227" spans="7:11" x14ac:dyDescent="0.3">
      <c r="G227" s="153">
        <f t="shared" si="15"/>
        <v>220</v>
      </c>
      <c r="H227" s="17"/>
      <c r="I227" s="18"/>
      <c r="J227" s="19"/>
      <c r="K227" s="19"/>
    </row>
    <row r="228" spans="7:11" x14ac:dyDescent="0.3">
      <c r="G228" s="153">
        <f t="shared" si="15"/>
        <v>221</v>
      </c>
      <c r="H228" s="17"/>
      <c r="I228" s="18"/>
      <c r="J228" s="19"/>
      <c r="K228" s="19"/>
    </row>
    <row r="229" spans="7:11" x14ac:dyDescent="0.3">
      <c r="G229" s="153">
        <f t="shared" si="15"/>
        <v>222</v>
      </c>
      <c r="H229" s="17"/>
      <c r="I229" s="18"/>
      <c r="J229" s="19"/>
      <c r="K229" s="19"/>
    </row>
    <row r="230" spans="7:11" x14ac:dyDescent="0.3">
      <c r="G230" s="153">
        <f t="shared" si="15"/>
        <v>223</v>
      </c>
      <c r="H230" s="17"/>
      <c r="I230" s="18"/>
      <c r="J230" s="19"/>
      <c r="K230" s="19"/>
    </row>
    <row r="231" spans="7:11" x14ac:dyDescent="0.3">
      <c r="G231" s="153">
        <f t="shared" si="15"/>
        <v>224</v>
      </c>
      <c r="H231" s="17"/>
      <c r="I231" s="18"/>
      <c r="J231" s="19"/>
      <c r="K231" s="19"/>
    </row>
    <row r="232" spans="7:11" x14ac:dyDescent="0.3">
      <c r="G232" s="153">
        <f t="shared" si="15"/>
        <v>225</v>
      </c>
      <c r="H232" s="17"/>
      <c r="I232" s="18"/>
      <c r="J232" s="19"/>
      <c r="K232" s="19"/>
    </row>
    <row r="233" spans="7:11" x14ac:dyDescent="0.3">
      <c r="G233" s="153">
        <f t="shared" si="15"/>
        <v>226</v>
      </c>
      <c r="H233" s="17"/>
      <c r="I233" s="18"/>
      <c r="J233" s="19"/>
      <c r="K233" s="19"/>
    </row>
    <row r="234" spans="7:11" x14ac:dyDescent="0.3">
      <c r="G234" s="153">
        <f t="shared" si="15"/>
        <v>227</v>
      </c>
      <c r="H234" s="17"/>
      <c r="I234" s="18"/>
      <c r="J234" s="19"/>
      <c r="K234" s="19"/>
    </row>
    <row r="235" spans="7:11" x14ac:dyDescent="0.3">
      <c r="G235" s="153">
        <f t="shared" si="15"/>
        <v>228</v>
      </c>
      <c r="H235" s="17"/>
      <c r="I235" s="18"/>
      <c r="J235" s="19"/>
      <c r="K235" s="19"/>
    </row>
    <row r="236" spans="7:11" x14ac:dyDescent="0.3">
      <c r="G236" s="153">
        <f t="shared" si="15"/>
        <v>229</v>
      </c>
      <c r="H236" s="17"/>
      <c r="I236" s="18"/>
      <c r="J236" s="19"/>
      <c r="K236" s="19"/>
    </row>
    <row r="237" spans="7:11" x14ac:dyDescent="0.3">
      <c r="G237" s="153">
        <f t="shared" si="15"/>
        <v>230</v>
      </c>
      <c r="H237" s="17"/>
      <c r="I237" s="18"/>
      <c r="J237" s="19"/>
      <c r="K237" s="19"/>
    </row>
    <row r="238" spans="7:11" x14ac:dyDescent="0.3">
      <c r="G238" s="153">
        <f t="shared" si="15"/>
        <v>231</v>
      </c>
      <c r="H238" s="17"/>
      <c r="I238" s="18"/>
      <c r="J238" s="19"/>
      <c r="K238" s="19"/>
    </row>
    <row r="239" spans="7:11" x14ac:dyDescent="0.3">
      <c r="G239" s="153">
        <f t="shared" si="15"/>
        <v>232</v>
      </c>
      <c r="H239" s="17"/>
      <c r="I239" s="18"/>
      <c r="J239" s="19"/>
      <c r="K239" s="19"/>
    </row>
    <row r="240" spans="7:11" x14ac:dyDescent="0.3">
      <c r="G240" s="153">
        <f t="shared" si="15"/>
        <v>233</v>
      </c>
      <c r="H240" s="17"/>
      <c r="I240" s="18"/>
      <c r="J240" s="19"/>
      <c r="K240" s="19"/>
    </row>
    <row r="241" spans="5:11" x14ac:dyDescent="0.3">
      <c r="G241" s="153">
        <f t="shared" si="15"/>
        <v>234</v>
      </c>
      <c r="H241" s="17"/>
      <c r="I241" s="18"/>
      <c r="J241" s="19"/>
      <c r="K241" s="19"/>
    </row>
    <row r="242" spans="5:11" x14ac:dyDescent="0.3">
      <c r="G242" s="153">
        <f t="shared" si="15"/>
        <v>235</v>
      </c>
    </row>
    <row r="243" spans="5:11" x14ac:dyDescent="0.3">
      <c r="G243" s="153">
        <f t="shared" si="15"/>
        <v>236</v>
      </c>
    </row>
    <row r="244" spans="5:11" x14ac:dyDescent="0.3">
      <c r="G244" s="153">
        <f t="shared" si="15"/>
        <v>237</v>
      </c>
    </row>
    <row r="245" spans="5:11" x14ac:dyDescent="0.3">
      <c r="G245" s="153">
        <f t="shared" si="15"/>
        <v>238</v>
      </c>
    </row>
    <row r="246" spans="5:11" x14ac:dyDescent="0.3">
      <c r="G246" s="153">
        <f t="shared" si="15"/>
        <v>239</v>
      </c>
    </row>
    <row r="247" spans="5:11" x14ac:dyDescent="0.3">
      <c r="E247" t="s">
        <v>124</v>
      </c>
      <c r="G247" s="153">
        <f t="shared" si="15"/>
        <v>240</v>
      </c>
    </row>
    <row r="248" spans="5:11" x14ac:dyDescent="0.3">
      <c r="G248" s="131"/>
    </row>
    <row r="249" spans="5:11" x14ac:dyDescent="0.3">
      <c r="G249" s="131"/>
    </row>
    <row r="250" spans="5:11" x14ac:dyDescent="0.3">
      <c r="G250" s="131"/>
    </row>
    <row r="251" spans="5:11" x14ac:dyDescent="0.3">
      <c r="G251" s="131"/>
    </row>
    <row r="252" spans="5:11" x14ac:dyDescent="0.3">
      <c r="G252" s="131"/>
    </row>
    <row r="253" spans="5:11" x14ac:dyDescent="0.3">
      <c r="G253" s="131"/>
    </row>
    <row r="254" spans="5:11" x14ac:dyDescent="0.3">
      <c r="G254" s="131"/>
    </row>
    <row r="255" spans="5:11" x14ac:dyDescent="0.3">
      <c r="G255" s="131"/>
    </row>
    <row r="256" spans="5:11" x14ac:dyDescent="0.3">
      <c r="G256" s="131"/>
    </row>
    <row r="257" spans="7:7" x14ac:dyDescent="0.3">
      <c r="G257" s="131"/>
    </row>
    <row r="258" spans="7:7" x14ac:dyDescent="0.3">
      <c r="G258" s="131"/>
    </row>
    <row r="259" spans="7:7" x14ac:dyDescent="0.3">
      <c r="G259" s="131"/>
    </row>
    <row r="260" spans="7:7" x14ac:dyDescent="0.3">
      <c r="G260" s="131"/>
    </row>
    <row r="261" spans="7:7" x14ac:dyDescent="0.3">
      <c r="G261" s="131"/>
    </row>
    <row r="262" spans="7:7" x14ac:dyDescent="0.3">
      <c r="G262" s="131"/>
    </row>
    <row r="263" spans="7:7" x14ac:dyDescent="0.3">
      <c r="G263" s="131"/>
    </row>
    <row r="264" spans="7:7" x14ac:dyDescent="0.3">
      <c r="G264" s="131"/>
    </row>
    <row r="265" spans="7:7" x14ac:dyDescent="0.3">
      <c r="G265" s="131"/>
    </row>
    <row r="266" spans="7:7" x14ac:dyDescent="0.3">
      <c r="G266" s="131"/>
    </row>
    <row r="267" spans="7:7" x14ac:dyDescent="0.3">
      <c r="G267" s="131"/>
    </row>
    <row r="268" spans="7:7" x14ac:dyDescent="0.3">
      <c r="G268" s="131"/>
    </row>
    <row r="269" spans="7:7" x14ac:dyDescent="0.3">
      <c r="G269" s="131"/>
    </row>
    <row r="270" spans="7:7" x14ac:dyDescent="0.3">
      <c r="G270" s="131"/>
    </row>
    <row r="271" spans="7:7" x14ac:dyDescent="0.3">
      <c r="G271" s="131"/>
    </row>
    <row r="272" spans="7:7" x14ac:dyDescent="0.3">
      <c r="G272" s="131"/>
    </row>
    <row r="273" spans="7:11" x14ac:dyDescent="0.3">
      <c r="G273" s="131"/>
    </row>
    <row r="274" spans="7:11" x14ac:dyDescent="0.3">
      <c r="G274" s="131"/>
    </row>
    <row r="275" spans="7:11" x14ac:dyDescent="0.3">
      <c r="G275" s="131"/>
    </row>
    <row r="276" spans="7:11" x14ac:dyDescent="0.3">
      <c r="G276" s="131"/>
    </row>
    <row r="277" spans="7:11" x14ac:dyDescent="0.3">
      <c r="G277" s="131"/>
    </row>
    <row r="278" spans="7:11" x14ac:dyDescent="0.3">
      <c r="G278" s="131"/>
    </row>
    <row r="279" spans="7:11" x14ac:dyDescent="0.3">
      <c r="G279" s="131"/>
    </row>
    <row r="280" spans="7:11" x14ac:dyDescent="0.3">
      <c r="G280" s="131"/>
    </row>
    <row r="281" spans="7:11" x14ac:dyDescent="0.3">
      <c r="G281" s="131"/>
    </row>
    <row r="282" spans="7:11" x14ac:dyDescent="0.3">
      <c r="G282" s="131"/>
    </row>
    <row r="283" spans="7:11" x14ac:dyDescent="0.3">
      <c r="G283" s="131"/>
    </row>
    <row r="284" spans="7:11" x14ac:dyDescent="0.3">
      <c r="G284" s="131"/>
    </row>
    <row r="285" spans="7:11" x14ac:dyDescent="0.3">
      <c r="G285" s="131"/>
      <c r="H285" s="17"/>
      <c r="I285" s="18"/>
      <c r="J285" s="19"/>
      <c r="K285" s="19"/>
    </row>
    <row r="286" spans="7:11" x14ac:dyDescent="0.3">
      <c r="G286" s="131"/>
      <c r="H286" s="17"/>
      <c r="I286" s="18"/>
      <c r="J286" s="19"/>
      <c r="K286" s="19"/>
    </row>
    <row r="287" spans="7:11" x14ac:dyDescent="0.3">
      <c r="G287" s="131"/>
      <c r="H287" s="17"/>
      <c r="I287" s="18"/>
      <c r="J287" s="19"/>
      <c r="K287" s="19"/>
    </row>
    <row r="288" spans="7:11" x14ac:dyDescent="0.3">
      <c r="G288" s="131"/>
      <c r="H288" s="17"/>
      <c r="I288" s="18"/>
      <c r="J288" s="19"/>
      <c r="K288" s="19"/>
    </row>
    <row r="289" spans="8:11" x14ac:dyDescent="0.3">
      <c r="H289" s="17"/>
      <c r="I289" s="18"/>
      <c r="J289" s="19"/>
      <c r="K289" s="19"/>
    </row>
    <row r="290" spans="8:11" x14ac:dyDescent="0.3">
      <c r="H290" s="17"/>
      <c r="I290" s="18"/>
      <c r="J290" s="19"/>
      <c r="K290" s="19"/>
    </row>
    <row r="291" spans="8:11" x14ac:dyDescent="0.3">
      <c r="H291" s="17"/>
      <c r="I291" s="18"/>
      <c r="J291" s="19"/>
      <c r="K291" s="19"/>
    </row>
    <row r="292" spans="8:11" x14ac:dyDescent="0.3">
      <c r="H292" s="17"/>
      <c r="I292" s="18"/>
      <c r="J292" s="19"/>
      <c r="K292" s="19"/>
    </row>
    <row r="293" spans="8:11" x14ac:dyDescent="0.3">
      <c r="H293" s="17"/>
      <c r="I293" s="18"/>
      <c r="J293" s="19"/>
      <c r="K293" s="19"/>
    </row>
    <row r="294" spans="8:11" x14ac:dyDescent="0.3">
      <c r="H294" s="17"/>
      <c r="I294" s="18"/>
      <c r="J294" s="19"/>
      <c r="K294" s="19"/>
    </row>
    <row r="295" spans="8:11" x14ac:dyDescent="0.3">
      <c r="H295" s="17"/>
      <c r="I295" s="18"/>
      <c r="J295" s="19"/>
      <c r="K295" s="19"/>
    </row>
    <row r="296" spans="8:11" x14ac:dyDescent="0.3">
      <c r="H296" s="17"/>
      <c r="I296" s="18"/>
      <c r="J296" s="19"/>
      <c r="K296" s="19"/>
    </row>
    <row r="297" spans="8:11" x14ac:dyDescent="0.3">
      <c r="H297" s="17"/>
      <c r="I297" s="18"/>
      <c r="J297" s="19"/>
      <c r="K297" s="19"/>
    </row>
    <row r="298" spans="8:11" x14ac:dyDescent="0.3">
      <c r="H298" s="17"/>
      <c r="I298" s="18"/>
      <c r="J298" s="19"/>
      <c r="K298" s="19"/>
    </row>
    <row r="299" spans="8:11" x14ac:dyDescent="0.3">
      <c r="H299" s="17"/>
      <c r="I299" s="18"/>
      <c r="J299" s="19"/>
      <c r="K299" s="19"/>
    </row>
    <row r="300" spans="8:11" x14ac:dyDescent="0.3">
      <c r="H300" s="17"/>
      <c r="I300" s="18"/>
      <c r="J300" s="19"/>
      <c r="K300" s="19"/>
    </row>
    <row r="301" spans="8:11" x14ac:dyDescent="0.3">
      <c r="H301" s="17"/>
      <c r="I301" s="18"/>
      <c r="J301" s="19"/>
      <c r="K301" s="19"/>
    </row>
    <row r="302" spans="8:11" x14ac:dyDescent="0.3">
      <c r="H302" s="17"/>
      <c r="I302" s="18"/>
      <c r="J302" s="19"/>
      <c r="K302" s="19"/>
    </row>
    <row r="303" spans="8:11" x14ac:dyDescent="0.3">
      <c r="H303" s="17"/>
      <c r="I303" s="18"/>
      <c r="J303" s="19"/>
      <c r="K303" s="19"/>
    </row>
    <row r="304" spans="8:11" x14ac:dyDescent="0.3">
      <c r="H304" s="17"/>
      <c r="I304" s="18"/>
      <c r="J304" s="19"/>
      <c r="K304" s="19"/>
    </row>
    <row r="305" spans="8:11" x14ac:dyDescent="0.3">
      <c r="H305" s="17"/>
      <c r="I305" s="18"/>
      <c r="J305" s="19"/>
      <c r="K305" s="19"/>
    </row>
    <row r="306" spans="8:11" x14ac:dyDescent="0.3">
      <c r="H306" s="17"/>
      <c r="I306" s="18"/>
      <c r="J306" s="19"/>
      <c r="K306" s="19"/>
    </row>
    <row r="307" spans="8:11" x14ac:dyDescent="0.3">
      <c r="H307" s="17"/>
      <c r="I307" s="18"/>
      <c r="J307" s="19"/>
      <c r="K307" s="19"/>
    </row>
    <row r="308" spans="8:11" x14ac:dyDescent="0.3">
      <c r="H308" s="17"/>
      <c r="I308" s="18"/>
      <c r="J308" s="19"/>
      <c r="K308" s="19"/>
    </row>
    <row r="309" spans="8:11" x14ac:dyDescent="0.3">
      <c r="H309" s="17"/>
      <c r="I309" s="18"/>
      <c r="J309" s="19"/>
      <c r="K309" s="19"/>
    </row>
    <row r="310" spans="8:11" x14ac:dyDescent="0.3">
      <c r="H310" s="17"/>
      <c r="I310" s="18"/>
      <c r="J310" s="19"/>
      <c r="K310" s="19"/>
    </row>
    <row r="311" spans="8:11" x14ac:dyDescent="0.3">
      <c r="H311" s="17"/>
      <c r="I311" s="18"/>
      <c r="J311" s="19"/>
      <c r="K311" s="19"/>
    </row>
    <row r="312" spans="8:11" x14ac:dyDescent="0.3">
      <c r="H312" s="17"/>
      <c r="I312" s="18"/>
      <c r="J312" s="19"/>
      <c r="K312" s="19"/>
    </row>
    <row r="313" spans="8:11" x14ac:dyDescent="0.3">
      <c r="H313" s="17"/>
      <c r="I313" s="18"/>
      <c r="J313" s="19"/>
      <c r="K313" s="19"/>
    </row>
    <row r="314" spans="8:11" x14ac:dyDescent="0.3">
      <c r="H314" s="17"/>
      <c r="I314" s="18"/>
      <c r="J314" s="19"/>
      <c r="K314" s="19"/>
    </row>
    <row r="315" spans="8:11" x14ac:dyDescent="0.3">
      <c r="H315" s="17"/>
      <c r="I315" s="18"/>
      <c r="J315" s="19"/>
      <c r="K315" s="19"/>
    </row>
    <row r="316" spans="8:11" x14ac:dyDescent="0.3">
      <c r="H316" s="17"/>
      <c r="I316" s="18"/>
      <c r="J316" s="19"/>
      <c r="K316" s="19"/>
    </row>
    <row r="317" spans="8:11" x14ac:dyDescent="0.3">
      <c r="H317" s="17"/>
      <c r="I317" s="18"/>
      <c r="J317" s="19"/>
      <c r="K317" s="19"/>
    </row>
    <row r="318" spans="8:11" x14ac:dyDescent="0.3">
      <c r="H318" s="17"/>
      <c r="I318" s="18"/>
      <c r="J318" s="19"/>
      <c r="K318" s="19"/>
    </row>
    <row r="319" spans="8:11" x14ac:dyDescent="0.3">
      <c r="H319" s="17"/>
      <c r="I319" s="18"/>
      <c r="J319" s="19"/>
      <c r="K319" s="19"/>
    </row>
    <row r="320" spans="8:11" x14ac:dyDescent="0.3">
      <c r="H320" s="17"/>
      <c r="I320" s="18"/>
      <c r="J320" s="19"/>
      <c r="K320" s="19"/>
    </row>
    <row r="321" spans="8:11" x14ac:dyDescent="0.3">
      <c r="H321" s="17"/>
      <c r="I321" s="18"/>
      <c r="J321" s="19"/>
      <c r="K321" s="19"/>
    </row>
    <row r="322" spans="8:11" x14ac:dyDescent="0.3">
      <c r="H322" s="17"/>
      <c r="I322" s="18"/>
      <c r="J322" s="19"/>
      <c r="K322" s="19"/>
    </row>
    <row r="323" spans="8:11" x14ac:dyDescent="0.3">
      <c r="H323" s="17"/>
      <c r="I323" s="18"/>
      <c r="J323" s="19"/>
      <c r="K323" s="19"/>
    </row>
    <row r="324" spans="8:11" x14ac:dyDescent="0.3">
      <c r="H324" s="17"/>
      <c r="I324" s="18"/>
      <c r="J324" s="19"/>
      <c r="K324" s="19"/>
    </row>
    <row r="325" spans="8:11" x14ac:dyDescent="0.3">
      <c r="H325" s="17"/>
      <c r="I325" s="18"/>
      <c r="J325" s="19"/>
      <c r="K325" s="19"/>
    </row>
    <row r="326" spans="8:11" x14ac:dyDescent="0.3">
      <c r="H326" s="17"/>
      <c r="I326" s="18"/>
      <c r="J326" s="19"/>
      <c r="K326" s="19"/>
    </row>
    <row r="327" spans="8:11" x14ac:dyDescent="0.3">
      <c r="H327" s="17"/>
      <c r="I327" s="18"/>
      <c r="J327" s="19"/>
      <c r="K327" s="19"/>
    </row>
    <row r="328" spans="8:11" x14ac:dyDescent="0.3">
      <c r="H328" s="17"/>
      <c r="I328" s="18"/>
      <c r="J328" s="19"/>
      <c r="K328" s="19"/>
    </row>
    <row r="329" spans="8:11" x14ac:dyDescent="0.3">
      <c r="H329" s="17"/>
      <c r="I329" s="18"/>
      <c r="J329" s="19"/>
      <c r="K329" s="19"/>
    </row>
    <row r="330" spans="8:11" x14ac:dyDescent="0.3">
      <c r="H330" s="17"/>
      <c r="I330" s="18"/>
      <c r="J330" s="19"/>
      <c r="K330" s="19"/>
    </row>
    <row r="331" spans="8:11" x14ac:dyDescent="0.3">
      <c r="H331" s="17"/>
      <c r="I331" s="18"/>
      <c r="J331" s="19"/>
      <c r="K331" s="19"/>
    </row>
    <row r="332" spans="8:11" x14ac:dyDescent="0.3">
      <c r="H332" s="17"/>
      <c r="I332" s="18"/>
      <c r="J332" s="19"/>
      <c r="K332" s="19"/>
    </row>
    <row r="333" spans="8:11" x14ac:dyDescent="0.3">
      <c r="H333" s="17"/>
      <c r="I333" s="18"/>
      <c r="J333" s="19"/>
      <c r="K333" s="19"/>
    </row>
    <row r="334" spans="8:11" x14ac:dyDescent="0.3">
      <c r="H334" s="17"/>
      <c r="I334" s="18"/>
      <c r="J334" s="19"/>
      <c r="K334" s="19"/>
    </row>
    <row r="335" spans="8:11" x14ac:dyDescent="0.3">
      <c r="H335" s="17"/>
      <c r="I335" s="18"/>
      <c r="J335" s="19"/>
      <c r="K335" s="19"/>
    </row>
    <row r="336" spans="8:11" x14ac:dyDescent="0.3">
      <c r="H336" s="17"/>
      <c r="I336" s="18"/>
      <c r="J336" s="19"/>
      <c r="K336" s="19"/>
    </row>
    <row r="337" spans="8:11" x14ac:dyDescent="0.3">
      <c r="H337" s="17"/>
      <c r="I337" s="18"/>
      <c r="J337" s="19"/>
      <c r="K337" s="19"/>
    </row>
    <row r="338" spans="8:11" x14ac:dyDescent="0.3">
      <c r="H338" s="17"/>
      <c r="I338" s="18"/>
      <c r="J338" s="19"/>
      <c r="K338" s="19"/>
    </row>
    <row r="339" spans="8:11" x14ac:dyDescent="0.3">
      <c r="H339" s="17"/>
      <c r="I339" s="18"/>
      <c r="J339" s="19"/>
      <c r="K339" s="19"/>
    </row>
    <row r="340" spans="8:11" x14ac:dyDescent="0.3">
      <c r="H340" s="17"/>
      <c r="I340" s="18"/>
      <c r="J340" s="19"/>
      <c r="K340" s="19"/>
    </row>
    <row r="341" spans="8:11" x14ac:dyDescent="0.3">
      <c r="H341" s="17"/>
      <c r="I341" s="18"/>
      <c r="J341" s="19"/>
      <c r="K341" s="19"/>
    </row>
    <row r="342" spans="8:11" x14ac:dyDescent="0.3">
      <c r="H342" s="17"/>
      <c r="I342" s="18"/>
      <c r="J342" s="19"/>
      <c r="K342" s="19"/>
    </row>
    <row r="343" spans="8:11" x14ac:dyDescent="0.3">
      <c r="H343" s="17"/>
      <c r="I343" s="18"/>
      <c r="J343" s="19"/>
      <c r="K343" s="19"/>
    </row>
    <row r="344" spans="8:11" x14ac:dyDescent="0.3">
      <c r="H344" s="17"/>
      <c r="I344" s="18"/>
      <c r="J344" s="19"/>
      <c r="K344" s="19"/>
    </row>
    <row r="345" spans="8:11" x14ac:dyDescent="0.3">
      <c r="H345" s="17"/>
      <c r="I345" s="18"/>
      <c r="J345" s="19"/>
      <c r="K345" s="19"/>
    </row>
    <row r="346" spans="8:11" x14ac:dyDescent="0.3">
      <c r="H346" s="17"/>
      <c r="I346" s="18"/>
      <c r="J346" s="19"/>
      <c r="K346" s="19"/>
    </row>
    <row r="347" spans="8:11" x14ac:dyDescent="0.3">
      <c r="H347" s="17"/>
      <c r="I347" s="18"/>
      <c r="J347" s="19"/>
      <c r="K347" s="19"/>
    </row>
    <row r="348" spans="8:11" x14ac:dyDescent="0.3">
      <c r="H348" s="17"/>
      <c r="I348" s="18"/>
      <c r="J348" s="19"/>
      <c r="K348" s="19"/>
    </row>
    <row r="349" spans="8:11" x14ac:dyDescent="0.3">
      <c r="H349" s="17"/>
      <c r="I349" s="18"/>
      <c r="J349" s="19"/>
      <c r="K349" s="19"/>
    </row>
    <row r="350" spans="8:11" x14ac:dyDescent="0.3">
      <c r="H350" s="17"/>
      <c r="I350" s="18"/>
      <c r="J350" s="19"/>
      <c r="K350" s="19"/>
    </row>
    <row r="351" spans="8:11" x14ac:dyDescent="0.3">
      <c r="H351" s="17"/>
      <c r="I351" s="18"/>
      <c r="J351" s="19"/>
      <c r="K351" s="19"/>
    </row>
    <row r="352" spans="8:11" x14ac:dyDescent="0.3">
      <c r="H352" s="17"/>
      <c r="I352" s="18"/>
      <c r="J352" s="19"/>
      <c r="K352" s="19"/>
    </row>
    <row r="353" spans="8:11" x14ac:dyDescent="0.3">
      <c r="H353" s="17"/>
      <c r="I353" s="18"/>
      <c r="J353" s="19"/>
      <c r="K353" s="19"/>
    </row>
    <row r="354" spans="8:11" x14ac:dyDescent="0.3">
      <c r="H354" s="17"/>
      <c r="I354" s="18"/>
      <c r="J354" s="19"/>
      <c r="K354" s="19"/>
    </row>
    <row r="355" spans="8:11" x14ac:dyDescent="0.3">
      <c r="H355" s="17"/>
      <c r="I355" s="18"/>
      <c r="J355" s="19"/>
      <c r="K355" s="19"/>
    </row>
    <row r="356" spans="8:11" x14ac:dyDescent="0.3">
      <c r="H356" s="17"/>
      <c r="I356" s="18"/>
      <c r="J356" s="19"/>
      <c r="K356" s="19"/>
    </row>
    <row r="357" spans="8:11" x14ac:dyDescent="0.3">
      <c r="H357" s="17"/>
      <c r="I357" s="18"/>
      <c r="J357" s="19"/>
      <c r="K357" s="19"/>
    </row>
    <row r="358" spans="8:11" x14ac:dyDescent="0.3">
      <c r="H358" s="17"/>
      <c r="I358" s="18"/>
      <c r="J358" s="19"/>
      <c r="K358" s="19"/>
    </row>
    <row r="359" spans="8:11" x14ac:dyDescent="0.3">
      <c r="H359" s="17"/>
      <c r="I359" s="18"/>
      <c r="J359" s="19"/>
      <c r="K359" s="19"/>
    </row>
    <row r="360" spans="8:11" x14ac:dyDescent="0.3">
      <c r="H360" s="17"/>
      <c r="I360" s="18"/>
      <c r="J360" s="19"/>
      <c r="K360" s="19"/>
    </row>
    <row r="361" spans="8:11" x14ac:dyDescent="0.3">
      <c r="H361" s="17"/>
      <c r="I361" s="18"/>
      <c r="J361" s="19"/>
      <c r="K361" s="19"/>
    </row>
    <row r="362" spans="8:11" x14ac:dyDescent="0.3">
      <c r="H362" s="17"/>
      <c r="I362" s="18"/>
      <c r="J362" s="19"/>
      <c r="K362" s="19"/>
    </row>
    <row r="363" spans="8:11" x14ac:dyDescent="0.3">
      <c r="H363" s="17"/>
      <c r="I363" s="18"/>
      <c r="J363" s="19"/>
      <c r="K363" s="19"/>
    </row>
    <row r="364" spans="8:11" x14ac:dyDescent="0.3">
      <c r="H364" s="17"/>
      <c r="I364" s="18"/>
      <c r="J364" s="19"/>
      <c r="K364" s="19"/>
    </row>
    <row r="365" spans="8:11" x14ac:dyDescent="0.3">
      <c r="H365" s="17"/>
      <c r="I365" s="18"/>
      <c r="J365" s="19"/>
      <c r="K365" s="19"/>
    </row>
    <row r="366" spans="8:11" x14ac:dyDescent="0.3">
      <c r="H366" s="17"/>
      <c r="I366" s="18"/>
      <c r="J366" s="19"/>
      <c r="K366" s="19"/>
    </row>
    <row r="367" spans="8:11" x14ac:dyDescent="0.3">
      <c r="H367" s="17"/>
      <c r="I367" s="18"/>
      <c r="J367" s="19"/>
      <c r="K367" s="19"/>
    </row>
    <row r="368" spans="8:11" ht="15" thickBot="1" x14ac:dyDescent="0.35">
      <c r="H368" s="22">
        <f>SUM(H7:H247)</f>
        <v>-79651.30196749531</v>
      </c>
      <c r="I368" s="22">
        <f>SUM(I7:I247)</f>
        <v>-19845.941967495197</v>
      </c>
      <c r="J368" s="23">
        <f>SUM(J7:J247)</f>
        <v>-59805.360000000015</v>
      </c>
      <c r="K368" s="2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53AB-FEAF-4E80-8BDC-C5D6877CA753}">
  <sheetPr>
    <tabColor theme="9"/>
  </sheetPr>
  <dimension ref="A1:BL9"/>
  <sheetViews>
    <sheetView topLeftCell="AQ1" zoomScale="102" workbookViewId="0">
      <selection activeCell="BL7" sqref="BL7"/>
    </sheetView>
  </sheetViews>
  <sheetFormatPr baseColWidth="10" defaultRowHeight="14.4" x14ac:dyDescent="0.3"/>
  <cols>
    <col min="3" max="3" width="14" bestFit="1" customWidth="1"/>
    <col min="4" max="4" width="6.6640625" bestFit="1" customWidth="1"/>
    <col min="5" max="5" width="6.77734375" bestFit="1" customWidth="1"/>
    <col min="6" max="6" width="7.21875" bestFit="1" customWidth="1"/>
    <col min="7" max="7" width="6.77734375" bestFit="1" customWidth="1"/>
    <col min="8" max="8" width="7.44140625" bestFit="1" customWidth="1"/>
    <col min="9" max="10" width="6.77734375" bestFit="1" customWidth="1"/>
    <col min="11" max="11" width="6.88671875" bestFit="1" customWidth="1"/>
    <col min="12" max="12" width="7.44140625" bestFit="1" customWidth="1"/>
    <col min="13" max="13" width="6.77734375" bestFit="1" customWidth="1"/>
    <col min="14" max="14" width="7" bestFit="1" customWidth="1"/>
    <col min="15" max="15" width="6.77734375" bestFit="1" customWidth="1"/>
    <col min="16" max="16" width="6.88671875" bestFit="1" customWidth="1"/>
    <col min="17" max="17" width="6.77734375" bestFit="1" customWidth="1"/>
    <col min="18" max="18" width="7.21875" bestFit="1" customWidth="1"/>
    <col min="19" max="19" width="6.77734375" bestFit="1" customWidth="1"/>
    <col min="20" max="20" width="7.44140625" bestFit="1" customWidth="1"/>
    <col min="21" max="22" width="6.77734375" bestFit="1" customWidth="1"/>
    <col min="23" max="23" width="6.88671875" bestFit="1" customWidth="1"/>
    <col min="24" max="24" width="7.44140625" bestFit="1" customWidth="1"/>
    <col min="25" max="25" width="6.77734375" bestFit="1" customWidth="1"/>
    <col min="26" max="26" width="7" bestFit="1" customWidth="1"/>
    <col min="27" max="27" width="6.77734375" bestFit="1" customWidth="1"/>
    <col min="28" max="63" width="7.88671875" bestFit="1" customWidth="1"/>
  </cols>
  <sheetData>
    <row r="1" spans="1:64" x14ac:dyDescent="0.3">
      <c r="A1" t="s">
        <v>101</v>
      </c>
      <c r="B1" s="13">
        <v>0.06</v>
      </c>
    </row>
    <row r="2" spans="1:64" x14ac:dyDescent="0.3">
      <c r="A2" t="s">
        <v>102</v>
      </c>
      <c r="B2" s="4">
        <f>SUM('Flujo 5 años C12'!E30:I30)</f>
        <v>13000</v>
      </c>
      <c r="D2" s="130">
        <v>46023</v>
      </c>
      <c r="E2" s="130">
        <v>46054</v>
      </c>
      <c r="F2" s="130">
        <v>46082</v>
      </c>
      <c r="G2" s="130">
        <v>46113</v>
      </c>
      <c r="H2" s="130">
        <v>46143</v>
      </c>
      <c r="I2" s="130">
        <v>46174</v>
      </c>
      <c r="J2" s="130">
        <v>46204</v>
      </c>
      <c r="K2" s="130">
        <v>46235</v>
      </c>
      <c r="L2" s="130">
        <v>46266</v>
      </c>
      <c r="M2" s="130">
        <v>46296</v>
      </c>
      <c r="N2" s="130">
        <v>46327</v>
      </c>
      <c r="O2" s="130">
        <v>46357</v>
      </c>
      <c r="P2" s="130">
        <v>46388</v>
      </c>
      <c r="Q2" s="130">
        <v>46419</v>
      </c>
      <c r="R2" s="130">
        <v>46447</v>
      </c>
      <c r="S2" s="130">
        <v>46478</v>
      </c>
      <c r="T2" s="130">
        <v>46508</v>
      </c>
      <c r="U2" s="130">
        <v>46539</v>
      </c>
      <c r="V2" s="130">
        <v>46569</v>
      </c>
      <c r="W2" s="130">
        <v>46600</v>
      </c>
      <c r="X2" s="130">
        <v>46631</v>
      </c>
      <c r="Y2" s="130">
        <v>46661</v>
      </c>
      <c r="Z2" s="130">
        <v>46692</v>
      </c>
      <c r="AA2" s="130">
        <v>46722</v>
      </c>
      <c r="AB2" s="130">
        <v>46753</v>
      </c>
      <c r="AC2" s="130">
        <v>46784</v>
      </c>
      <c r="AD2" s="130">
        <v>46813</v>
      </c>
      <c r="AE2" s="130">
        <v>46844</v>
      </c>
      <c r="AF2" s="130">
        <v>46874</v>
      </c>
      <c r="AG2" s="130">
        <v>46905</v>
      </c>
      <c r="AH2" s="130">
        <v>46935</v>
      </c>
      <c r="AI2" s="130">
        <v>46966</v>
      </c>
      <c r="AJ2" s="130">
        <v>46997</v>
      </c>
      <c r="AK2" s="130">
        <v>47027</v>
      </c>
      <c r="AL2" s="130">
        <v>47058</v>
      </c>
      <c r="AM2" s="130">
        <v>47088</v>
      </c>
      <c r="AN2" s="130">
        <v>47119</v>
      </c>
      <c r="AO2" s="130">
        <v>47150</v>
      </c>
      <c r="AP2" s="130">
        <v>47178</v>
      </c>
      <c r="AQ2" s="130">
        <v>47209</v>
      </c>
      <c r="AR2" s="130">
        <v>47239</v>
      </c>
      <c r="AS2" s="130">
        <v>47270</v>
      </c>
      <c r="AT2" s="130">
        <v>47300</v>
      </c>
      <c r="AU2" s="130">
        <v>47331</v>
      </c>
      <c r="AV2" s="130">
        <v>47362</v>
      </c>
      <c r="AW2" s="130">
        <v>47392</v>
      </c>
      <c r="AX2" s="130">
        <v>47423</v>
      </c>
      <c r="AY2" s="130">
        <v>47453</v>
      </c>
      <c r="AZ2" s="130">
        <v>47484</v>
      </c>
      <c r="BA2" s="130">
        <v>47515</v>
      </c>
      <c r="BB2" s="130">
        <v>47543</v>
      </c>
      <c r="BC2" s="130">
        <v>47574</v>
      </c>
      <c r="BD2" s="130">
        <v>47604</v>
      </c>
      <c r="BE2" s="130">
        <v>47635</v>
      </c>
      <c r="BF2" s="130">
        <v>47665</v>
      </c>
      <c r="BG2" s="130">
        <v>47696</v>
      </c>
      <c r="BH2" s="130">
        <v>47727</v>
      </c>
      <c r="BI2" s="130">
        <v>47757</v>
      </c>
      <c r="BJ2" s="130">
        <v>47788</v>
      </c>
      <c r="BK2" s="130">
        <v>47818</v>
      </c>
    </row>
    <row r="3" spans="1:64" x14ac:dyDescent="0.3">
      <c r="A3" t="s">
        <v>103</v>
      </c>
      <c r="B3" s="4"/>
      <c r="C3" s="4"/>
      <c r="D3" s="4">
        <f>'Flujo 5 años C12'!E30</f>
        <v>1500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f>'Flujo 5 años C12'!G30</f>
        <v>2000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f>'Flujo 5 años C12'!H30</f>
        <v>4500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f>'Flujo 5 años C12'!I30</f>
        <v>5000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f>'Flujo 5 años C12'!J30</f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  <row r="4" spans="1:64" x14ac:dyDescent="0.3">
      <c r="B4" s="4"/>
      <c r="C4" s="4" t="s">
        <v>105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</row>
    <row r="5" spans="1:64" x14ac:dyDescent="0.3">
      <c r="C5" t="s">
        <v>104</v>
      </c>
      <c r="D5" s="2">
        <f>D3</f>
        <v>1500</v>
      </c>
      <c r="E5" s="2">
        <f>D5+E4+E3</f>
        <v>1500</v>
      </c>
      <c r="F5" s="2">
        <f>E5+F4+F3</f>
        <v>1500</v>
      </c>
      <c r="G5" s="2">
        <f t="shared" ref="G5:BK5" si="0">F5+G4+G3</f>
        <v>1500</v>
      </c>
      <c r="H5" s="2">
        <f t="shared" si="0"/>
        <v>1500</v>
      </c>
      <c r="I5" s="2">
        <f t="shared" si="0"/>
        <v>1500</v>
      </c>
      <c r="J5" s="2">
        <f t="shared" si="0"/>
        <v>1500</v>
      </c>
      <c r="K5" s="2">
        <f t="shared" si="0"/>
        <v>1500</v>
      </c>
      <c r="L5" s="2">
        <f t="shared" si="0"/>
        <v>1500</v>
      </c>
      <c r="M5" s="2">
        <f t="shared" si="0"/>
        <v>1500</v>
      </c>
      <c r="N5" s="2">
        <f t="shared" si="0"/>
        <v>1500</v>
      </c>
      <c r="O5" s="2">
        <f t="shared" si="0"/>
        <v>1500</v>
      </c>
      <c r="P5" s="2">
        <f>O5+P4+P3</f>
        <v>3500</v>
      </c>
      <c r="Q5" s="2">
        <f t="shared" si="0"/>
        <v>3500</v>
      </c>
      <c r="R5" s="2">
        <f t="shared" si="0"/>
        <v>3500</v>
      </c>
      <c r="S5" s="2">
        <f t="shared" si="0"/>
        <v>3500</v>
      </c>
      <c r="T5" s="2">
        <f t="shared" si="0"/>
        <v>3500</v>
      </c>
      <c r="U5" s="2">
        <f t="shared" si="0"/>
        <v>3500</v>
      </c>
      <c r="V5" s="2">
        <f t="shared" si="0"/>
        <v>3500</v>
      </c>
      <c r="W5" s="2">
        <f t="shared" si="0"/>
        <v>3500</v>
      </c>
      <c r="X5" s="2">
        <f t="shared" si="0"/>
        <v>3500</v>
      </c>
      <c r="Y5" s="2">
        <f t="shared" si="0"/>
        <v>3500</v>
      </c>
      <c r="Z5" s="2">
        <f t="shared" si="0"/>
        <v>3500</v>
      </c>
      <c r="AA5" s="2">
        <f t="shared" si="0"/>
        <v>3500</v>
      </c>
      <c r="AB5" s="2">
        <f>AA5+AB4+AB3</f>
        <v>8000</v>
      </c>
      <c r="AC5" s="2">
        <f t="shared" si="0"/>
        <v>8000</v>
      </c>
      <c r="AD5" s="2">
        <f t="shared" si="0"/>
        <v>8000</v>
      </c>
      <c r="AE5" s="2">
        <f t="shared" si="0"/>
        <v>8000</v>
      </c>
      <c r="AF5" s="2">
        <f t="shared" si="0"/>
        <v>8000</v>
      </c>
      <c r="AG5" s="2">
        <f t="shared" si="0"/>
        <v>8000</v>
      </c>
      <c r="AH5" s="2">
        <f t="shared" si="0"/>
        <v>8000</v>
      </c>
      <c r="AI5" s="2">
        <f t="shared" si="0"/>
        <v>8000</v>
      </c>
      <c r="AJ5" s="2">
        <f t="shared" si="0"/>
        <v>8000</v>
      </c>
      <c r="AK5" s="2">
        <f t="shared" si="0"/>
        <v>8000</v>
      </c>
      <c r="AL5" s="2">
        <f t="shared" si="0"/>
        <v>8000</v>
      </c>
      <c r="AM5" s="2">
        <f t="shared" si="0"/>
        <v>8000</v>
      </c>
      <c r="AN5" s="2">
        <f>AM5+AN4+AN3</f>
        <v>13000</v>
      </c>
      <c r="AO5" s="2">
        <f t="shared" si="0"/>
        <v>13000</v>
      </c>
      <c r="AP5" s="2">
        <f t="shared" si="0"/>
        <v>13000</v>
      </c>
      <c r="AQ5" s="2">
        <f t="shared" si="0"/>
        <v>13000</v>
      </c>
      <c r="AR5" s="2">
        <f t="shared" si="0"/>
        <v>13000</v>
      </c>
      <c r="AS5" s="2">
        <f t="shared" si="0"/>
        <v>13000</v>
      </c>
      <c r="AT5" s="2">
        <f t="shared" si="0"/>
        <v>13000</v>
      </c>
      <c r="AU5" s="2">
        <f t="shared" si="0"/>
        <v>13000</v>
      </c>
      <c r="AV5" s="2">
        <f t="shared" si="0"/>
        <v>13000</v>
      </c>
      <c r="AW5" s="2">
        <f t="shared" si="0"/>
        <v>13000</v>
      </c>
      <c r="AX5" s="2">
        <f t="shared" si="0"/>
        <v>13000</v>
      </c>
      <c r="AY5" s="2">
        <f t="shared" si="0"/>
        <v>13000</v>
      </c>
      <c r="AZ5" s="2">
        <f t="shared" si="0"/>
        <v>13000</v>
      </c>
      <c r="BA5" s="2">
        <f>AZ5+BA4+BA3</f>
        <v>13000</v>
      </c>
      <c r="BB5" s="2">
        <f t="shared" si="0"/>
        <v>13000</v>
      </c>
      <c r="BC5" s="2">
        <f t="shared" si="0"/>
        <v>13000</v>
      </c>
      <c r="BD5" s="2">
        <f t="shared" si="0"/>
        <v>13000</v>
      </c>
      <c r="BE5" s="2">
        <f t="shared" si="0"/>
        <v>13000</v>
      </c>
      <c r="BF5" s="2">
        <f t="shared" si="0"/>
        <v>13000</v>
      </c>
      <c r="BG5" s="2">
        <f t="shared" si="0"/>
        <v>13000</v>
      </c>
      <c r="BH5" s="2">
        <f t="shared" si="0"/>
        <v>13000</v>
      </c>
      <c r="BI5" s="2">
        <f t="shared" si="0"/>
        <v>13000</v>
      </c>
      <c r="BJ5" s="2">
        <f t="shared" si="0"/>
        <v>13000</v>
      </c>
      <c r="BK5" s="2">
        <f t="shared" si="0"/>
        <v>13000</v>
      </c>
    </row>
    <row r="7" spans="1:64" x14ac:dyDescent="0.3">
      <c r="E7" s="2">
        <f>D5*$B$1/12</f>
        <v>7.5</v>
      </c>
      <c r="F7" s="2">
        <f>E5*$B$1/12</f>
        <v>7.5</v>
      </c>
      <c r="G7" s="2">
        <f>F5*$B$1/12</f>
        <v>7.5</v>
      </c>
      <c r="H7" s="2">
        <f t="shared" ref="H7:BK7" si="1">G5*$B$1/12</f>
        <v>7.5</v>
      </c>
      <c r="I7" s="2">
        <f t="shared" si="1"/>
        <v>7.5</v>
      </c>
      <c r="J7" s="2">
        <f t="shared" si="1"/>
        <v>7.5</v>
      </c>
      <c r="K7" s="2">
        <f t="shared" si="1"/>
        <v>7.5</v>
      </c>
      <c r="L7" s="2">
        <f t="shared" si="1"/>
        <v>7.5</v>
      </c>
      <c r="M7" s="2">
        <f t="shared" si="1"/>
        <v>7.5</v>
      </c>
      <c r="N7" s="2">
        <f t="shared" si="1"/>
        <v>7.5</v>
      </c>
      <c r="O7" s="2">
        <f t="shared" si="1"/>
        <v>7.5</v>
      </c>
      <c r="P7" s="2">
        <f t="shared" si="1"/>
        <v>7.5</v>
      </c>
      <c r="Q7" s="2">
        <f>P5*$B$1/12</f>
        <v>17.5</v>
      </c>
      <c r="R7" s="2">
        <f t="shared" si="1"/>
        <v>17.5</v>
      </c>
      <c r="S7" s="2">
        <f>R5*$B$1/12</f>
        <v>17.5</v>
      </c>
      <c r="T7" s="2">
        <f t="shared" si="1"/>
        <v>17.5</v>
      </c>
      <c r="U7" s="2">
        <f t="shared" si="1"/>
        <v>17.5</v>
      </c>
      <c r="V7" s="2">
        <f t="shared" si="1"/>
        <v>17.5</v>
      </c>
      <c r="W7" s="2">
        <f t="shared" si="1"/>
        <v>17.5</v>
      </c>
      <c r="X7" s="2">
        <f t="shared" si="1"/>
        <v>17.5</v>
      </c>
      <c r="Y7" s="2">
        <f t="shared" si="1"/>
        <v>17.5</v>
      </c>
      <c r="Z7" s="2">
        <f t="shared" si="1"/>
        <v>17.5</v>
      </c>
      <c r="AA7" s="2">
        <f t="shared" si="1"/>
        <v>17.5</v>
      </c>
      <c r="AB7" s="2">
        <f t="shared" si="1"/>
        <v>17.5</v>
      </c>
      <c r="AC7" s="2">
        <f t="shared" si="1"/>
        <v>40</v>
      </c>
      <c r="AD7" s="2">
        <f t="shared" si="1"/>
        <v>40</v>
      </c>
      <c r="AE7" s="2">
        <f>AD5*$B$1/12</f>
        <v>40</v>
      </c>
      <c r="AF7" s="2">
        <f>AE5*$B$1/12</f>
        <v>40</v>
      </c>
      <c r="AG7" s="2">
        <f>AF5*$B$1/12</f>
        <v>40</v>
      </c>
      <c r="AH7" s="2">
        <f t="shared" si="1"/>
        <v>40</v>
      </c>
      <c r="AI7" s="2">
        <f t="shared" si="1"/>
        <v>40</v>
      </c>
      <c r="AJ7" s="2">
        <f t="shared" si="1"/>
        <v>40</v>
      </c>
      <c r="AK7" s="2">
        <f t="shared" si="1"/>
        <v>40</v>
      </c>
      <c r="AL7" s="2">
        <f t="shared" si="1"/>
        <v>40</v>
      </c>
      <c r="AM7" s="2">
        <f t="shared" si="1"/>
        <v>40</v>
      </c>
      <c r="AN7" s="2">
        <f t="shared" si="1"/>
        <v>40</v>
      </c>
      <c r="AO7" s="2">
        <f t="shared" si="1"/>
        <v>65</v>
      </c>
      <c r="AP7" s="2">
        <f t="shared" si="1"/>
        <v>65</v>
      </c>
      <c r="AQ7" s="2">
        <f t="shared" si="1"/>
        <v>65</v>
      </c>
      <c r="AR7" s="2">
        <f t="shared" si="1"/>
        <v>65</v>
      </c>
      <c r="AS7" s="2">
        <f t="shared" si="1"/>
        <v>65</v>
      </c>
      <c r="AT7" s="2">
        <f t="shared" si="1"/>
        <v>65</v>
      </c>
      <c r="AU7" s="2">
        <f t="shared" si="1"/>
        <v>65</v>
      </c>
      <c r="AV7" s="2">
        <f t="shared" si="1"/>
        <v>65</v>
      </c>
      <c r="AW7" s="2">
        <f t="shared" si="1"/>
        <v>65</v>
      </c>
      <c r="AX7" s="2">
        <f t="shared" si="1"/>
        <v>65</v>
      </c>
      <c r="AY7" s="2">
        <f t="shared" si="1"/>
        <v>65</v>
      </c>
      <c r="AZ7" s="2">
        <f t="shared" si="1"/>
        <v>65</v>
      </c>
      <c r="BA7" s="2">
        <f t="shared" si="1"/>
        <v>65</v>
      </c>
      <c r="BB7" s="2">
        <f t="shared" si="1"/>
        <v>65</v>
      </c>
      <c r="BC7" s="2">
        <f t="shared" si="1"/>
        <v>65</v>
      </c>
      <c r="BD7" s="2">
        <f>BC5*$B$1/12</f>
        <v>65</v>
      </c>
      <c r="BE7" s="2">
        <f>BD5*$B$1/12</f>
        <v>65</v>
      </c>
      <c r="BF7" s="2">
        <f t="shared" si="1"/>
        <v>65</v>
      </c>
      <c r="BG7" s="2">
        <f t="shared" si="1"/>
        <v>65</v>
      </c>
      <c r="BH7" s="2">
        <f t="shared" si="1"/>
        <v>65</v>
      </c>
      <c r="BI7" s="2">
        <f t="shared" si="1"/>
        <v>65</v>
      </c>
      <c r="BJ7" s="2">
        <f t="shared" si="1"/>
        <v>65</v>
      </c>
      <c r="BK7" s="2">
        <f t="shared" si="1"/>
        <v>65</v>
      </c>
      <c r="BL7" s="2">
        <f>SUM(E7:BK7)</f>
        <v>2275</v>
      </c>
    </row>
    <row r="8" spans="1:64" x14ac:dyDescent="0.3">
      <c r="G8" s="2">
        <f>SUM(E7:G7)</f>
        <v>22.5</v>
      </c>
      <c r="J8" s="2">
        <f>SUM(H7:J7)</f>
        <v>22.5</v>
      </c>
      <c r="M8" s="2">
        <f>SUM(K7:M7)</f>
        <v>22.5</v>
      </c>
      <c r="O8" s="2"/>
      <c r="P8" s="2">
        <f>SUM(N7:P7)</f>
        <v>22.5</v>
      </c>
      <c r="S8" s="2">
        <f>SUM(Q7:S7)</f>
        <v>52.5</v>
      </c>
      <c r="V8" s="2">
        <f>SUM(T7:V7)</f>
        <v>52.5</v>
      </c>
      <c r="Y8" s="2">
        <f>SUM(W7:Y7)</f>
        <v>52.5</v>
      </c>
      <c r="AA8" s="2"/>
      <c r="AB8" s="2">
        <f>SUM(Z7:AB7)</f>
        <v>52.5</v>
      </c>
      <c r="AE8" s="2">
        <f>SUM(AC7:AE7)</f>
        <v>120</v>
      </c>
      <c r="AH8" s="2">
        <f>SUM(AF7:AH7)</f>
        <v>120</v>
      </c>
      <c r="AK8" s="2">
        <f>SUM(AI7:AK7)</f>
        <v>120</v>
      </c>
      <c r="AN8" s="2">
        <f>SUM(AL7:AN7)</f>
        <v>120</v>
      </c>
      <c r="AQ8" s="2">
        <f>SUM(AO7:AQ7)</f>
        <v>195</v>
      </c>
      <c r="AT8" s="2">
        <f>SUM(AR7:AT7)</f>
        <v>195</v>
      </c>
      <c r="AW8" s="2">
        <f>SUM(AU7:AW7)</f>
        <v>195</v>
      </c>
      <c r="AZ8" s="2">
        <f>SUM(AX7:AZ7)</f>
        <v>195</v>
      </c>
      <c r="BC8" s="2">
        <f>SUM(BA7:BC7)</f>
        <v>195</v>
      </c>
      <c r="BF8" s="2">
        <f>SUM(BD7:BF7)</f>
        <v>195</v>
      </c>
      <c r="BI8" s="2">
        <f>SUM(BG7:BI7)</f>
        <v>195</v>
      </c>
      <c r="BK8" s="2">
        <f>SUM(BJ7:BK7)</f>
        <v>130</v>
      </c>
      <c r="BL8" s="2">
        <f>SUM(E8:BK8)</f>
        <v>2275</v>
      </c>
    </row>
    <row r="9" spans="1:64" s="4" customFormat="1" x14ac:dyDescent="0.3">
      <c r="O9" s="4">
        <f>SUM(D8:O8)</f>
        <v>67.5</v>
      </c>
      <c r="AA9" s="4">
        <f>SUM(P8:AA8)</f>
        <v>180</v>
      </c>
      <c r="AM9" s="4">
        <f>SUM(AB8:AM8)</f>
        <v>412.5</v>
      </c>
      <c r="AY9" s="4">
        <f>SUM(AN8:AY8)</f>
        <v>705</v>
      </c>
      <c r="BK9" s="4">
        <f>SUM(AZ8:BK8)</f>
        <v>910</v>
      </c>
      <c r="BL9" s="4">
        <f>SUM(E9:BK9)</f>
        <v>2275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1F1B-00AC-4FE4-8457-E087D79E95DD}">
  <sheetPr>
    <tabColor rgb="FF92D050"/>
  </sheetPr>
  <dimension ref="B2:R47"/>
  <sheetViews>
    <sheetView showGridLines="0" zoomScale="77" zoomScaleNormal="77" workbookViewId="0">
      <selection activeCell="C1" sqref="C1:O39"/>
    </sheetView>
  </sheetViews>
  <sheetFormatPr baseColWidth="10" defaultRowHeight="14.4" x14ac:dyDescent="0.3"/>
  <cols>
    <col min="1" max="1" width="3.109375" customWidth="1"/>
    <col min="2" max="2" width="6.6640625" bestFit="1" customWidth="1"/>
    <col min="3" max="3" width="2.44140625" customWidth="1"/>
    <col min="4" max="4" width="43.5546875" bestFit="1" customWidth="1"/>
    <col min="5" max="5" width="10" bestFit="1" customWidth="1"/>
    <col min="6" max="7" width="10.44140625" bestFit="1" customWidth="1"/>
    <col min="8" max="9" width="11.109375" bestFit="1" customWidth="1"/>
    <col min="10" max="10" width="11.5546875" bestFit="1" customWidth="1"/>
    <col min="11" max="11" width="6.109375" bestFit="1" customWidth="1"/>
    <col min="12" max="13" width="11.109375" bestFit="1" customWidth="1"/>
    <col min="14" max="14" width="11.5546875" bestFit="1" customWidth="1"/>
    <col min="15" max="15" width="4.21875" customWidth="1"/>
    <col min="16" max="16" width="17.44140625" bestFit="1" customWidth="1"/>
    <col min="17" max="17" width="16.6640625" bestFit="1" customWidth="1"/>
    <col min="18" max="18" width="18" bestFit="1" customWidth="1"/>
    <col min="19" max="19" width="17.21875" bestFit="1" customWidth="1"/>
  </cols>
  <sheetData>
    <row r="2" spans="2:17" x14ac:dyDescent="0.3">
      <c r="D2" s="36" t="s">
        <v>41</v>
      </c>
      <c r="E2" s="69" t="s">
        <v>72</v>
      </c>
      <c r="F2" s="69" t="s">
        <v>50</v>
      </c>
      <c r="G2" s="69" t="s">
        <v>51</v>
      </c>
      <c r="H2" s="69" t="s">
        <v>52</v>
      </c>
      <c r="I2" s="69" t="s">
        <v>53</v>
      </c>
      <c r="J2" s="69" t="s">
        <v>54</v>
      </c>
      <c r="K2" s="69" t="s">
        <v>125</v>
      </c>
      <c r="L2" s="123" t="s">
        <v>99</v>
      </c>
      <c r="M2" s="123" t="s">
        <v>20</v>
      </c>
      <c r="N2" s="70" t="s">
        <v>27</v>
      </c>
      <c r="O2" s="119"/>
    </row>
    <row r="3" spans="2:17" x14ac:dyDescent="0.3">
      <c r="D3" s="24" t="s">
        <v>42</v>
      </c>
      <c r="E3" s="25"/>
      <c r="F3" s="25">
        <f>'Flujo mensual'!P4</f>
        <v>2078.4688890933003</v>
      </c>
      <c r="G3" s="25">
        <f>'Flujo mensual'!$O$4*12*0.9</f>
        <v>2747.4432922270762</v>
      </c>
      <c r="H3" s="25">
        <f>'Flujo mensual'!$O$4*12*0.9</f>
        <v>2747.4432922270762</v>
      </c>
      <c r="I3" s="25">
        <f>'Flujo mensual'!$O$4*12*0.9</f>
        <v>2747.4432922270762</v>
      </c>
      <c r="J3" s="25">
        <f>'Flujo mensual'!$O$4*12*0.9</f>
        <v>2747.4432922270762</v>
      </c>
      <c r="K3" s="124"/>
      <c r="L3" s="124"/>
      <c r="M3" s="124"/>
      <c r="N3" s="26">
        <f>SUM(F3:M3)</f>
        <v>13068.242058001604</v>
      </c>
      <c r="O3" s="100"/>
    </row>
    <row r="4" spans="2:17" x14ac:dyDescent="0.3">
      <c r="D4" s="27" t="s">
        <v>43</v>
      </c>
      <c r="E4" s="29"/>
      <c r="F4" s="29">
        <f>'Flujo mensual'!G5</f>
        <v>178.79548306148055</v>
      </c>
      <c r="G4" s="29">
        <v>0</v>
      </c>
      <c r="H4" s="29">
        <v>0</v>
      </c>
      <c r="I4" s="29">
        <v>0</v>
      </c>
      <c r="J4" s="29">
        <v>0</v>
      </c>
      <c r="K4" s="84"/>
      <c r="L4" s="84"/>
      <c r="M4" s="84"/>
      <c r="N4" s="30">
        <f t="shared" ref="N4:N6" si="0">SUM(F4:M4)</f>
        <v>178.79548306148055</v>
      </c>
      <c r="O4" s="100"/>
    </row>
    <row r="5" spans="2:17" x14ac:dyDescent="0.3">
      <c r="D5" s="27" t="s">
        <v>44</v>
      </c>
      <c r="E5" s="29"/>
      <c r="F5" s="29">
        <f>'Flujo mensual'!G6</f>
        <v>8157.4413559322047</v>
      </c>
      <c r="G5" s="29">
        <v>0</v>
      </c>
      <c r="H5" s="29">
        <v>0</v>
      </c>
      <c r="I5" s="29">
        <v>0</v>
      </c>
      <c r="J5" s="29">
        <v>0</v>
      </c>
      <c r="K5" s="84"/>
      <c r="L5" s="84"/>
      <c r="M5" s="84"/>
      <c r="N5" s="30">
        <f t="shared" si="0"/>
        <v>8157.4413559322047</v>
      </c>
      <c r="O5" s="100"/>
    </row>
    <row r="6" spans="2:17" x14ac:dyDescent="0.3">
      <c r="D6" s="31" t="s">
        <v>55</v>
      </c>
      <c r="E6" s="32"/>
      <c r="F6" s="32">
        <v>0</v>
      </c>
      <c r="G6" s="32">
        <v>0</v>
      </c>
      <c r="H6" s="32">
        <v>0</v>
      </c>
      <c r="I6" s="32">
        <v>0</v>
      </c>
      <c r="J6" s="32">
        <f>'IVA Dptos'!AD23*0.9</f>
        <v>74756.7</v>
      </c>
      <c r="K6" s="85"/>
      <c r="L6" s="85"/>
      <c r="M6" s="85"/>
      <c r="N6" s="33">
        <f t="shared" si="0"/>
        <v>74756.7</v>
      </c>
      <c r="O6" s="100"/>
      <c r="P6" t="s">
        <v>107</v>
      </c>
    </row>
    <row r="7" spans="2:17" x14ac:dyDescent="0.3">
      <c r="D7" s="36" t="s">
        <v>46</v>
      </c>
      <c r="E7" s="71">
        <f t="shared" ref="E7:I7" si="1">SUM(E3:E6)</f>
        <v>0</v>
      </c>
      <c r="F7" s="71">
        <f t="shared" si="1"/>
        <v>10414.705728086985</v>
      </c>
      <c r="G7" s="71">
        <f t="shared" si="1"/>
        <v>2747.4432922270762</v>
      </c>
      <c r="H7" s="71">
        <f t="shared" si="1"/>
        <v>2747.4432922270762</v>
      </c>
      <c r="I7" s="71">
        <f t="shared" si="1"/>
        <v>2747.4432922270762</v>
      </c>
      <c r="J7" s="71">
        <f>SUM(J3:J6)</f>
        <v>77504.143292227076</v>
      </c>
      <c r="K7" s="71">
        <f t="shared" ref="K7:M7" si="2">SUM(K3:K6)</f>
        <v>0</v>
      </c>
      <c r="L7" s="71">
        <f t="shared" si="2"/>
        <v>0</v>
      </c>
      <c r="M7" s="71">
        <f t="shared" si="2"/>
        <v>0</v>
      </c>
      <c r="N7" s="72">
        <f>SUM(N3:N6)</f>
        <v>96161.17889699529</v>
      </c>
      <c r="O7" s="120"/>
    </row>
    <row r="9" spans="2:17" x14ac:dyDescent="0.3">
      <c r="B9" s="1"/>
      <c r="C9" s="1"/>
      <c r="D9" s="36" t="s">
        <v>45</v>
      </c>
      <c r="E9" s="69" t="s">
        <v>72</v>
      </c>
      <c r="F9" s="69" t="s">
        <v>50</v>
      </c>
      <c r="G9" s="69" t="s">
        <v>51</v>
      </c>
      <c r="H9" s="69" t="s">
        <v>52</v>
      </c>
      <c r="I9" s="69" t="s">
        <v>53</v>
      </c>
      <c r="J9" s="69" t="s">
        <v>54</v>
      </c>
      <c r="K9" s="69" t="s">
        <v>125</v>
      </c>
      <c r="L9" s="123"/>
      <c r="M9" s="123"/>
      <c r="N9" s="70" t="s">
        <v>27</v>
      </c>
      <c r="O9" s="119"/>
      <c r="Q9" s="1"/>
    </row>
    <row r="10" spans="2:17" x14ac:dyDescent="0.3">
      <c r="B10" s="1"/>
      <c r="C10" s="1"/>
      <c r="D10" s="78" t="s">
        <v>18</v>
      </c>
      <c r="E10" s="29">
        <f>'Flujo mensual'!C11</f>
        <v>941.02885821831865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/>
      <c r="L10" s="29"/>
      <c r="M10" s="29"/>
      <c r="N10" s="79">
        <f>SUM(E10:M10)</f>
        <v>941.02885821831865</v>
      </c>
      <c r="O10" s="100"/>
      <c r="Q10" s="1"/>
    </row>
    <row r="11" spans="2:17" x14ac:dyDescent="0.3">
      <c r="B11" s="1"/>
      <c r="C11" s="1"/>
      <c r="D11" s="27" t="s">
        <v>19</v>
      </c>
      <c r="E11" s="29"/>
      <c r="F11" s="29">
        <f>'Flujo mensual'!$P$12</f>
        <v>30.112923462986199</v>
      </c>
      <c r="G11" s="29">
        <f>'Flujo mensual'!$P$12</f>
        <v>30.112923462986199</v>
      </c>
      <c r="H11" s="29">
        <f>'Flujo mensual'!$P$12</f>
        <v>30.112923462986199</v>
      </c>
      <c r="I11" s="29">
        <f>'Flujo mensual'!$P$12</f>
        <v>30.112923462986199</v>
      </c>
      <c r="J11" s="29">
        <f>'Flujo mensual'!$P$12</f>
        <v>30.112923462986199</v>
      </c>
      <c r="K11" s="86"/>
      <c r="L11" s="86"/>
      <c r="M11" s="86"/>
      <c r="N11" s="79">
        <f t="shared" ref="N11:N20" si="3">SUM(E11:M11)</f>
        <v>150.56461731493098</v>
      </c>
      <c r="O11" s="100"/>
      <c r="Q11" s="1"/>
    </row>
    <row r="12" spans="2:17" x14ac:dyDescent="0.3">
      <c r="B12" s="1"/>
      <c r="C12" s="1"/>
      <c r="D12" s="78" t="s">
        <v>95</v>
      </c>
      <c r="E12" s="29">
        <f>'Crédito Comercial 12A'!D10</f>
        <v>0</v>
      </c>
      <c r="F12" s="29"/>
      <c r="G12" s="29"/>
      <c r="H12" s="29"/>
      <c r="I12" s="29"/>
      <c r="J12" s="29"/>
      <c r="K12" s="86"/>
      <c r="L12" s="86"/>
      <c r="M12" s="86"/>
      <c r="N12" s="79">
        <f>SUM(E12:M12)</f>
        <v>0</v>
      </c>
      <c r="O12" s="100"/>
      <c r="P12" s="1"/>
      <c r="Q12" s="1"/>
    </row>
    <row r="13" spans="2:17" x14ac:dyDescent="0.3">
      <c r="B13" s="1"/>
      <c r="C13" s="1"/>
      <c r="D13" s="27" t="s">
        <v>20</v>
      </c>
      <c r="E13" s="29"/>
      <c r="F13" s="29">
        <f>-'Crédito Comercial 20A'!$H$8*12</f>
        <v>4736.2668681501982</v>
      </c>
      <c r="G13" s="29">
        <f>-'Crédito Comercial 20A'!$H$8*12</f>
        <v>4736.2668681501982</v>
      </c>
      <c r="H13" s="29">
        <f>-'Crédito Comercial 20A'!$H$8*12</f>
        <v>4736.2668681501982</v>
      </c>
      <c r="I13" s="29">
        <f>-'Crédito Comercial 20A'!$H$8*12</f>
        <v>4736.2668681501982</v>
      </c>
      <c r="J13" s="29">
        <f>-'Crédito Comercial 20A'!$H$8*12</f>
        <v>4736.2668681501982</v>
      </c>
      <c r="K13" s="86"/>
      <c r="L13" s="86"/>
      <c r="M13" s="86"/>
      <c r="N13" s="79">
        <f>SUM(E13:M13)</f>
        <v>23681.334340750989</v>
      </c>
      <c r="O13" s="100"/>
      <c r="P13" s="1"/>
    </row>
    <row r="14" spans="2:17" x14ac:dyDescent="0.3">
      <c r="D14" s="27" t="s">
        <v>21</v>
      </c>
      <c r="E14" s="29">
        <f>'Flujo mensual'!P14</f>
        <v>188.20577164366375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86"/>
      <c r="L14" s="86"/>
      <c r="M14" s="86"/>
      <c r="N14" s="79">
        <f t="shared" si="3"/>
        <v>188.20577164366375</v>
      </c>
      <c r="O14" s="100"/>
    </row>
    <row r="15" spans="2:17" x14ac:dyDescent="0.3">
      <c r="D15" s="27" t="s">
        <v>22</v>
      </c>
      <c r="E15" s="29"/>
      <c r="F15" s="29">
        <f>'Flujo mensual'!P15</f>
        <v>134.60596401570629</v>
      </c>
      <c r="G15" s="29">
        <v>0</v>
      </c>
      <c r="H15" s="29">
        <v>0</v>
      </c>
      <c r="I15" s="29">
        <v>0</v>
      </c>
      <c r="J15" s="29">
        <v>0</v>
      </c>
      <c r="K15" s="86"/>
      <c r="L15" s="86"/>
      <c r="M15" s="86"/>
      <c r="N15" s="79">
        <f t="shared" si="3"/>
        <v>134.60596401570629</v>
      </c>
      <c r="O15" s="100"/>
    </row>
    <row r="16" spans="2:17" x14ac:dyDescent="0.3">
      <c r="D16" s="27" t="s">
        <v>23</v>
      </c>
      <c r="E16" s="29"/>
      <c r="F16" s="29">
        <f>'Flujo mensual'!P16</f>
        <v>317.28983688833131</v>
      </c>
      <c r="G16" s="29">
        <v>0</v>
      </c>
      <c r="H16" s="29">
        <v>0</v>
      </c>
      <c r="I16" s="29">
        <v>0</v>
      </c>
      <c r="J16" s="29">
        <v>0</v>
      </c>
      <c r="K16" s="86"/>
      <c r="L16" s="86"/>
      <c r="M16" s="86"/>
      <c r="N16" s="79">
        <f t="shared" si="3"/>
        <v>317.28983688833131</v>
      </c>
      <c r="O16" s="100"/>
    </row>
    <row r="17" spans="3:18" x14ac:dyDescent="0.3">
      <c r="D17" s="27" t="s">
        <v>24</v>
      </c>
      <c r="E17" s="29"/>
      <c r="F17" s="29">
        <f>'Flujo mensual'!P17</f>
        <v>153.2713243592176</v>
      </c>
      <c r="G17" s="29">
        <f>'Flujo mensual'!$O$17*12*0.9</f>
        <v>203.52421759174794</v>
      </c>
      <c r="H17" s="29">
        <f>'Flujo mensual'!$O$17*12*0.9</f>
        <v>203.52421759174794</v>
      </c>
      <c r="I17" s="29">
        <f>'Flujo mensual'!$O$17*12*0.9</f>
        <v>203.52421759174794</v>
      </c>
      <c r="J17" s="29">
        <f>'Flujo mensual'!$O$17*12*0.9</f>
        <v>203.52421759174794</v>
      </c>
      <c r="K17" s="86"/>
      <c r="L17" s="86"/>
      <c r="M17" s="86"/>
      <c r="N17" s="79">
        <f>SUM(E17:M17)</f>
        <v>967.36819472620948</v>
      </c>
      <c r="O17" s="100"/>
    </row>
    <row r="18" spans="3:18" x14ac:dyDescent="0.3">
      <c r="D18" s="27" t="s">
        <v>65</v>
      </c>
      <c r="E18" s="29"/>
      <c r="F18" s="29">
        <f>'Flujo mensual'!$P$19</f>
        <v>90.338770388958594</v>
      </c>
      <c r="G18" s="29">
        <f>'Flujo mensual'!$P$19</f>
        <v>90.338770388958594</v>
      </c>
      <c r="H18" s="29">
        <f>'Flujo mensual'!$P$19</f>
        <v>90.338770388958594</v>
      </c>
      <c r="I18" s="29">
        <f>'Flujo mensual'!$P$19</f>
        <v>90.338770388958594</v>
      </c>
      <c r="J18" s="29">
        <f>'Flujo mensual'!$P$19</f>
        <v>90.338770388958594</v>
      </c>
      <c r="K18" s="86"/>
      <c r="L18" s="86"/>
      <c r="M18" s="86"/>
      <c r="N18" s="79">
        <f>SUM(E18:M18)</f>
        <v>451.69385194479298</v>
      </c>
      <c r="O18" s="100"/>
    </row>
    <row r="19" spans="3:18" x14ac:dyDescent="0.3">
      <c r="D19" s="27" t="s">
        <v>100</v>
      </c>
      <c r="E19" s="29"/>
      <c r="F19" s="29">
        <f>'Crédito C20'!O9</f>
        <v>67.5</v>
      </c>
      <c r="G19" s="29">
        <f>'Crédito C20'!AA9</f>
        <v>90</v>
      </c>
      <c r="H19" s="29">
        <f>'Crédito C20'!AM9</f>
        <v>135</v>
      </c>
      <c r="I19" s="29">
        <f>'Crédito C20'!AY9</f>
        <v>240</v>
      </c>
      <c r="J19" s="29">
        <f>'Crédito C20'!BK9</f>
        <v>315</v>
      </c>
      <c r="K19" s="86"/>
      <c r="L19" s="86"/>
      <c r="M19" s="86"/>
      <c r="N19" s="79">
        <f>SUM(E19:M19)</f>
        <v>847.5</v>
      </c>
      <c r="O19" s="100"/>
      <c r="R19" s="19"/>
    </row>
    <row r="20" spans="3:18" x14ac:dyDescent="0.3">
      <c r="D20" s="27" t="s">
        <v>25</v>
      </c>
      <c r="E20" s="29"/>
      <c r="F20" s="29">
        <f>'Flujo mensual'!P20</f>
        <v>70.368628526221457</v>
      </c>
      <c r="G20" s="29">
        <f>'Flujo mensual'!$O$20*12</f>
        <v>106.05542992352727</v>
      </c>
      <c r="H20" s="29">
        <f>'Flujo mensual'!$O$20*12</f>
        <v>106.05542992352727</v>
      </c>
      <c r="I20" s="29">
        <f>'Flujo mensual'!$O$20*12</f>
        <v>106.05542992352727</v>
      </c>
      <c r="J20" s="29">
        <f>'Flujo mensual'!$O$20*12</f>
        <v>106.05542992352727</v>
      </c>
      <c r="K20" s="86"/>
      <c r="L20" s="86"/>
      <c r="M20" s="86"/>
      <c r="N20" s="79">
        <f t="shared" si="3"/>
        <v>494.59034822033061</v>
      </c>
      <c r="O20" s="100"/>
      <c r="R20" s="19"/>
    </row>
    <row r="21" spans="3:18" x14ac:dyDescent="0.3">
      <c r="D21" s="83" t="s">
        <v>126</v>
      </c>
      <c r="E21" s="157"/>
      <c r="F21" s="157"/>
      <c r="G21" s="157"/>
      <c r="H21" s="157"/>
      <c r="I21" s="157"/>
      <c r="J21" s="157"/>
      <c r="K21" s="158">
        <v>0</v>
      </c>
      <c r="L21" s="158"/>
      <c r="M21" s="158"/>
      <c r="N21" s="159"/>
      <c r="O21" s="100"/>
      <c r="R21" s="19"/>
    </row>
    <row r="22" spans="3:18" x14ac:dyDescent="0.3">
      <c r="D22" s="80" t="s">
        <v>47</v>
      </c>
      <c r="E22" s="81">
        <f>SUM(E10:E21)</f>
        <v>1129.2346298619823</v>
      </c>
      <c r="F22" s="81">
        <f t="shared" ref="F22:K22" si="4">SUM(F10:F21)</f>
        <v>5599.7543157916198</v>
      </c>
      <c r="G22" s="81">
        <f t="shared" si="4"/>
        <v>5256.2982095174184</v>
      </c>
      <c r="H22" s="81">
        <f t="shared" si="4"/>
        <v>5301.2982095174184</v>
      </c>
      <c r="I22" s="81">
        <f t="shared" si="4"/>
        <v>5406.2982095174184</v>
      </c>
      <c r="J22" s="81">
        <f t="shared" si="4"/>
        <v>5481.2982095174184</v>
      </c>
      <c r="K22" s="81">
        <f t="shared" si="4"/>
        <v>0</v>
      </c>
      <c r="L22" s="81">
        <f t="shared" ref="L22:M22" si="5">SUM(L10:L20)</f>
        <v>0</v>
      </c>
      <c r="M22" s="81">
        <f t="shared" si="5"/>
        <v>0</v>
      </c>
      <c r="N22" s="82">
        <f>SUM(N10:N20)</f>
        <v>28174.181783723277</v>
      </c>
      <c r="O22" s="100"/>
      <c r="P22" s="19"/>
    </row>
    <row r="23" spans="3:18" ht="6" customHeight="1" x14ac:dyDescent="0.3"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121"/>
    </row>
    <row r="24" spans="3:18" x14ac:dyDescent="0.3">
      <c r="D24" s="36" t="s">
        <v>106</v>
      </c>
      <c r="E24" s="74">
        <f t="shared" ref="E24:J24" si="6">E7-E22</f>
        <v>-1129.2346298619823</v>
      </c>
      <c r="F24" s="74">
        <f t="shared" si="6"/>
        <v>4814.9514122953651</v>
      </c>
      <c r="G24" s="74">
        <f t="shared" si="6"/>
        <v>-2508.8549172903422</v>
      </c>
      <c r="H24" s="74">
        <f t="shared" si="6"/>
        <v>-2553.8549172903422</v>
      </c>
      <c r="I24" s="74">
        <f t="shared" si="6"/>
        <v>-2658.8549172903422</v>
      </c>
      <c r="J24" s="74">
        <f t="shared" si="6"/>
        <v>72022.845082709653</v>
      </c>
      <c r="K24" s="74"/>
      <c r="L24" s="74">
        <f t="shared" ref="L24:M24" si="7">L7-L22</f>
        <v>0</v>
      </c>
      <c r="M24" s="74">
        <f t="shared" si="7"/>
        <v>0</v>
      </c>
      <c r="N24" s="73">
        <f>SUM(E24:M24)</f>
        <v>67986.997113272009</v>
      </c>
    </row>
    <row r="25" spans="3:18" x14ac:dyDescent="0.3">
      <c r="D25" s="36" t="s">
        <v>49</v>
      </c>
      <c r="E25" s="75">
        <f>E24</f>
        <v>-1129.2346298619823</v>
      </c>
      <c r="F25" s="75">
        <f>E25+F24</f>
        <v>3685.7167824333828</v>
      </c>
      <c r="G25" s="75">
        <f>F25+G24</f>
        <v>1176.8618651430406</v>
      </c>
      <c r="H25" s="75">
        <f>G25+H24</f>
        <v>-1376.9930521473016</v>
      </c>
      <c r="I25" s="75">
        <f>H25+I24</f>
        <v>-4035.8479694376438</v>
      </c>
      <c r="J25" s="75">
        <f>I25+J24</f>
        <v>67986.997113272009</v>
      </c>
      <c r="K25" s="75"/>
      <c r="L25" s="75"/>
      <c r="M25" s="75"/>
      <c r="O25" s="120"/>
      <c r="P25" s="19"/>
    </row>
    <row r="26" spans="3:18" ht="6" customHeight="1" x14ac:dyDescent="0.3"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121"/>
    </row>
    <row r="27" spans="3:18" x14ac:dyDescent="0.3">
      <c r="C27" s="19"/>
      <c r="D27" s="73" t="s">
        <v>56</v>
      </c>
      <c r="E27" s="76">
        <f>E4+E5-E20</f>
        <v>0</v>
      </c>
      <c r="F27" s="76">
        <f>F4+F5-F20</f>
        <v>8265.8682104674645</v>
      </c>
      <c r="G27" s="76">
        <f>F27-G20</f>
        <v>8159.8127805439372</v>
      </c>
      <c r="H27" s="76">
        <f>G27-H20</f>
        <v>8053.7573506204099</v>
      </c>
      <c r="I27" s="76">
        <f>H27-I20</f>
        <v>7947.7019206968826</v>
      </c>
      <c r="J27" s="117">
        <f>I27-J20</f>
        <v>7841.6464907733553</v>
      </c>
      <c r="K27" s="117"/>
      <c r="L27" s="76"/>
      <c r="M27" s="76"/>
      <c r="N27" s="77"/>
    </row>
    <row r="28" spans="3:18" x14ac:dyDescent="0.3">
      <c r="D28" s="73" t="s">
        <v>71</v>
      </c>
      <c r="E28" s="76"/>
      <c r="F28" s="76"/>
      <c r="G28" s="76"/>
      <c r="H28" s="76"/>
      <c r="I28" s="76"/>
      <c r="J28" s="117">
        <f>'Crédito Comercial 20A'!K67</f>
        <v>49910.481361046586</v>
      </c>
      <c r="K28" s="156"/>
      <c r="L28" s="125"/>
      <c r="M28" s="125"/>
      <c r="N28" s="77"/>
      <c r="O28" s="121"/>
      <c r="P28" s="19"/>
      <c r="Q28" s="19"/>
    </row>
    <row r="29" spans="3:18" ht="6" customHeight="1" x14ac:dyDescent="0.3"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121"/>
    </row>
    <row r="30" spans="3:18" x14ac:dyDescent="0.3">
      <c r="D30" s="24" t="s">
        <v>73</v>
      </c>
      <c r="E30" s="25">
        <v>1500</v>
      </c>
      <c r="F30" s="25"/>
      <c r="G30" s="25">
        <v>0</v>
      </c>
      <c r="H30" s="25">
        <v>1000</v>
      </c>
      <c r="I30" s="25">
        <v>2000</v>
      </c>
      <c r="J30" s="25"/>
      <c r="K30" s="124"/>
      <c r="L30" s="124"/>
      <c r="M30" s="124"/>
      <c r="N30" s="132">
        <f>SUM(E30:J30)</f>
        <v>4500</v>
      </c>
      <c r="O30" s="121"/>
      <c r="Q30" s="129"/>
    </row>
    <row r="31" spans="3:18" x14ac:dyDescent="0.3">
      <c r="D31" s="27" t="s">
        <v>74</v>
      </c>
      <c r="E31" s="29"/>
      <c r="F31" s="29"/>
      <c r="G31" s="29"/>
      <c r="H31" s="29"/>
      <c r="L31" s="126">
        <f>-N30</f>
        <v>-4500</v>
      </c>
      <c r="N31" s="133"/>
      <c r="O31" s="100"/>
      <c r="P31" s="128"/>
    </row>
    <row r="32" spans="3:18" x14ac:dyDescent="0.3">
      <c r="D32" s="31" t="s">
        <v>20</v>
      </c>
      <c r="E32" s="32"/>
      <c r="F32" s="32"/>
      <c r="G32" s="32"/>
      <c r="H32" s="32"/>
      <c r="I32" s="32"/>
      <c r="J32" s="127"/>
      <c r="K32" s="127"/>
      <c r="L32" s="127"/>
      <c r="M32" s="127">
        <f>-L36</f>
        <v>-10234.86926145207</v>
      </c>
      <c r="N32" s="134"/>
      <c r="O32" s="100"/>
      <c r="P32" s="128"/>
    </row>
    <row r="33" spans="2:18" x14ac:dyDescent="0.3">
      <c r="B33" s="131"/>
      <c r="D33" s="1" t="s">
        <v>98</v>
      </c>
      <c r="E33" s="99">
        <f>SUM(E30:E32)</f>
        <v>1500</v>
      </c>
      <c r="F33" s="99">
        <f t="shared" ref="F33:I33" si="8">SUM(F30:F32)</f>
        <v>0</v>
      </c>
      <c r="G33" s="99">
        <f>SUM(G30:G32)</f>
        <v>0</v>
      </c>
      <c r="H33" s="99">
        <f t="shared" si="8"/>
        <v>1000</v>
      </c>
      <c r="I33" s="99">
        <f t="shared" si="8"/>
        <v>2000</v>
      </c>
      <c r="J33" s="99">
        <f>SUM(J30:J32)</f>
        <v>0</v>
      </c>
      <c r="K33" s="99"/>
      <c r="L33" s="99">
        <f>SUM(L30:L32)</f>
        <v>-4500</v>
      </c>
      <c r="M33" s="99">
        <f>SUM(M30:M32)</f>
        <v>-10234.86926145207</v>
      </c>
      <c r="N33" s="99">
        <f>SUM(N30:N32)</f>
        <v>4500</v>
      </c>
      <c r="O33" s="100"/>
    </row>
    <row r="34" spans="2:18" x14ac:dyDescent="0.3">
      <c r="B34" s="154"/>
      <c r="E34" s="99"/>
      <c r="F34" s="99"/>
      <c r="G34" s="99"/>
      <c r="H34" s="99"/>
      <c r="I34" s="99"/>
      <c r="J34" s="99"/>
      <c r="K34" s="99"/>
      <c r="L34" s="99"/>
      <c r="M34" s="99"/>
      <c r="N34" s="100"/>
      <c r="O34" s="122"/>
    </row>
    <row r="35" spans="2:18" x14ac:dyDescent="0.3">
      <c r="B35" s="155"/>
      <c r="C35" s="19"/>
      <c r="D35" s="36" t="s">
        <v>108</v>
      </c>
      <c r="E35" s="74">
        <f>+E25+E33</f>
        <v>370.76537013801772</v>
      </c>
      <c r="F35" s="74">
        <f>+F24+F33</f>
        <v>4814.9514122953651</v>
      </c>
      <c r="G35" s="74">
        <f>+G24+G33</f>
        <v>-2508.8549172903422</v>
      </c>
      <c r="H35" s="74">
        <f>+H24+H33</f>
        <v>-1553.8549172903422</v>
      </c>
      <c r="I35" s="74">
        <f>+I24+I33</f>
        <v>-658.8549172903422</v>
      </c>
      <c r="J35" s="74">
        <f>+J24-J27-J28+J33</f>
        <v>14270.717230889713</v>
      </c>
      <c r="K35" s="74"/>
      <c r="L35" s="74">
        <f>+L24+L33-L27-L28</f>
        <v>-4500</v>
      </c>
      <c r="M35" s="74">
        <f>+M24+M33-M27-M28</f>
        <v>-10234.86926145207</v>
      </c>
      <c r="N35" s="73">
        <f>SUM(E35:M35)</f>
        <v>0</v>
      </c>
      <c r="O35" s="100"/>
      <c r="P35" s="19"/>
    </row>
    <row r="36" spans="2:18" x14ac:dyDescent="0.3">
      <c r="B36" s="131"/>
      <c r="C36" s="19"/>
      <c r="D36" s="36" t="s">
        <v>109</v>
      </c>
      <c r="E36" s="75">
        <f>+E35</f>
        <v>370.76537013801772</v>
      </c>
      <c r="F36" s="75">
        <f>+F35+E36</f>
        <v>5185.7167824333828</v>
      </c>
      <c r="G36" s="75">
        <f>+G35+F36</f>
        <v>2676.8618651430406</v>
      </c>
      <c r="H36" s="75">
        <f>+H35+G36</f>
        <v>1123.0069478526984</v>
      </c>
      <c r="I36" s="75">
        <f>+I35+H36</f>
        <v>464.15203056235623</v>
      </c>
      <c r="J36" s="75">
        <f>+J35+I36</f>
        <v>14734.86926145207</v>
      </c>
      <c r="K36" s="75"/>
      <c r="L36" s="75">
        <f>+L35+J36</f>
        <v>10234.86926145207</v>
      </c>
      <c r="M36" s="75">
        <f>+M35+L36</f>
        <v>0</v>
      </c>
      <c r="O36" s="120"/>
    </row>
    <row r="37" spans="2:18" x14ac:dyDescent="0.3">
      <c r="B37" s="131"/>
      <c r="C37" s="19"/>
      <c r="P37" s="19"/>
      <c r="Q37" s="19"/>
      <c r="R37" s="19"/>
    </row>
    <row r="38" spans="2:18" x14ac:dyDescent="0.3">
      <c r="D38" s="73" t="s">
        <v>110</v>
      </c>
      <c r="E38" s="76"/>
      <c r="F38" s="76"/>
      <c r="G38" s="76"/>
      <c r="H38" s="76"/>
      <c r="I38" s="76"/>
      <c r="J38" s="76"/>
      <c r="K38" s="76"/>
      <c r="L38" s="76"/>
      <c r="M38" s="87">
        <f>+J25-J27-J28</f>
        <v>10234.86926145207</v>
      </c>
      <c r="N38" s="77"/>
    </row>
    <row r="39" spans="2:18" x14ac:dyDescent="0.3">
      <c r="O39" s="121"/>
      <c r="P39" s="19"/>
    </row>
    <row r="46" spans="2:18" x14ac:dyDescent="0.3">
      <c r="G46" s="97"/>
    </row>
    <row r="47" spans="2:18" x14ac:dyDescent="0.3">
      <c r="G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F771-EE10-4098-884D-4100E62B9022}">
  <sheetPr>
    <tabColor theme="3" tint="0.79998168889431442"/>
  </sheetPr>
  <dimension ref="B2:M368"/>
  <sheetViews>
    <sheetView showGridLines="0" zoomScale="90" zoomScaleNormal="90" workbookViewId="0">
      <selection activeCell="K5" sqref="K5"/>
    </sheetView>
  </sheetViews>
  <sheetFormatPr baseColWidth="10" defaultRowHeight="14.4" x14ac:dyDescent="0.3"/>
  <cols>
    <col min="1" max="1" width="3.21875" customWidth="1"/>
    <col min="2" max="2" width="19.33203125" bestFit="1" customWidth="1"/>
    <col min="3" max="3" width="5.5546875" bestFit="1" customWidth="1"/>
    <col min="6" max="6" width="3.5546875" customWidth="1"/>
    <col min="8" max="8" width="9.5546875" bestFit="1" customWidth="1"/>
    <col min="9" max="9" width="9.109375" bestFit="1" customWidth="1"/>
    <col min="10" max="10" width="9.5546875" bestFit="1" customWidth="1"/>
    <col min="11" max="11" width="11.5546875" bestFit="1" customWidth="1"/>
    <col min="13" max="13" width="14.109375" bestFit="1" customWidth="1"/>
  </cols>
  <sheetData>
    <row r="2" spans="2:13" x14ac:dyDescent="0.3">
      <c r="B2" t="s">
        <v>120</v>
      </c>
      <c r="D2" s="2">
        <f>'IVA Dptos'!AD23</f>
        <v>83063</v>
      </c>
      <c r="E2" s="109"/>
      <c r="F2" s="4"/>
    </row>
    <row r="3" spans="2:13" x14ac:dyDescent="0.3">
      <c r="B3" t="s">
        <v>119</v>
      </c>
      <c r="C3">
        <v>0.28000000000000003</v>
      </c>
      <c r="D3" s="2">
        <f>D2-D2*C3</f>
        <v>59805.36</v>
      </c>
      <c r="M3" s="2"/>
    </row>
    <row r="4" spans="2:13" x14ac:dyDescent="0.3">
      <c r="B4" t="s">
        <v>121</v>
      </c>
      <c r="D4" s="4">
        <f>D3</f>
        <v>59805.36</v>
      </c>
    </row>
    <row r="5" spans="2:13" x14ac:dyDescent="0.3">
      <c r="B5" t="s">
        <v>94</v>
      </c>
      <c r="D5" s="16">
        <v>0.05</v>
      </c>
    </row>
    <row r="6" spans="2:13" ht="15" thickBot="1" x14ac:dyDescent="0.35">
      <c r="B6" t="s">
        <v>58</v>
      </c>
      <c r="D6" s="16">
        <f>D5/12</f>
        <v>4.1666666666666666E-3</v>
      </c>
      <c r="G6" s="21" t="s">
        <v>60</v>
      </c>
      <c r="H6" s="21" t="s">
        <v>61</v>
      </c>
      <c r="I6" s="21" t="s">
        <v>62</v>
      </c>
      <c r="J6" s="21" t="s">
        <v>63</v>
      </c>
      <c r="K6" s="21" t="s">
        <v>57</v>
      </c>
    </row>
    <row r="7" spans="2:13" x14ac:dyDescent="0.3">
      <c r="B7" s="112" t="s">
        <v>59</v>
      </c>
      <c r="C7" s="112"/>
      <c r="D7" s="112">
        <f>20*12</f>
        <v>240</v>
      </c>
      <c r="G7" s="149">
        <v>0</v>
      </c>
      <c r="H7" s="149">
        <v>0</v>
      </c>
      <c r="I7" s="149">
        <v>0</v>
      </c>
      <c r="J7" s="149">
        <v>0</v>
      </c>
      <c r="K7" s="150">
        <f>D4</f>
        <v>59805.36</v>
      </c>
    </row>
    <row r="8" spans="2:13" x14ac:dyDescent="0.3">
      <c r="B8" s="112"/>
      <c r="C8" s="112"/>
      <c r="D8" s="112">
        <f>D7/12</f>
        <v>20</v>
      </c>
      <c r="G8" s="149">
        <f>G7+1</f>
        <v>1</v>
      </c>
      <c r="H8" s="151">
        <f>PMT($D$6,$D$7,$D$4)</f>
        <v>-394.68890567918316</v>
      </c>
      <c r="I8" s="152">
        <f>-K7*$D$6</f>
        <v>-249.18899999999999</v>
      </c>
      <c r="J8" s="118">
        <f t="shared" ref="J8:J71" si="0">H8-I8</f>
        <v>-145.49990567918317</v>
      </c>
      <c r="K8" s="118">
        <f>K7+J8</f>
        <v>59659.860094320815</v>
      </c>
    </row>
    <row r="9" spans="2:13" x14ac:dyDescent="0.3">
      <c r="G9" s="149">
        <f t="shared" ref="G9:G72" si="1">G8+1</f>
        <v>2</v>
      </c>
      <c r="H9" s="151">
        <f t="shared" ref="H9:H72" si="2">PMT($D$5/12,$D$7,$D$4)</f>
        <v>-394.68890567918316</v>
      </c>
      <c r="I9" s="152">
        <f t="shared" ref="I9:I72" si="3">-K8*$D$6</f>
        <v>-248.58275039300338</v>
      </c>
      <c r="J9" s="118">
        <f t="shared" si="0"/>
        <v>-146.10615528617978</v>
      </c>
      <c r="K9" s="118">
        <f t="shared" ref="K9:K72" si="4">K8+J9</f>
        <v>59513.753939034636</v>
      </c>
    </row>
    <row r="10" spans="2:13" x14ac:dyDescent="0.3">
      <c r="B10" t="s">
        <v>92</v>
      </c>
      <c r="D10" s="2">
        <v>0</v>
      </c>
      <c r="G10" s="149">
        <f t="shared" si="1"/>
        <v>3</v>
      </c>
      <c r="H10" s="151">
        <f t="shared" si="2"/>
        <v>-394.68890567918316</v>
      </c>
      <c r="I10" s="152">
        <f t="shared" si="3"/>
        <v>-247.97397474597764</v>
      </c>
      <c r="J10" s="118">
        <f t="shared" si="0"/>
        <v>-146.71493093320552</v>
      </c>
      <c r="K10" s="118">
        <f t="shared" si="4"/>
        <v>59367.039008101427</v>
      </c>
    </row>
    <row r="11" spans="2:13" x14ac:dyDescent="0.3">
      <c r="G11" s="149">
        <f t="shared" si="1"/>
        <v>4</v>
      </c>
      <c r="H11" s="151">
        <f t="shared" si="2"/>
        <v>-394.68890567918316</v>
      </c>
      <c r="I11" s="152">
        <f t="shared" si="3"/>
        <v>-247.36266253375595</v>
      </c>
      <c r="J11" s="118">
        <f t="shared" si="0"/>
        <v>-147.32624314542721</v>
      </c>
      <c r="K11" s="118">
        <f t="shared" si="4"/>
        <v>59219.712764955999</v>
      </c>
    </row>
    <row r="12" spans="2:13" x14ac:dyDescent="0.3">
      <c r="G12" s="149">
        <f t="shared" si="1"/>
        <v>5</v>
      </c>
      <c r="H12" s="151">
        <f t="shared" si="2"/>
        <v>-394.68890567918316</v>
      </c>
      <c r="I12" s="152">
        <f t="shared" si="3"/>
        <v>-246.74880318731667</v>
      </c>
      <c r="J12" s="118">
        <f t="shared" si="0"/>
        <v>-147.9401024918665</v>
      </c>
      <c r="K12" s="118">
        <f t="shared" si="4"/>
        <v>59071.772662464129</v>
      </c>
    </row>
    <row r="13" spans="2:13" x14ac:dyDescent="0.3">
      <c r="G13" s="149">
        <f t="shared" si="1"/>
        <v>6</v>
      </c>
      <c r="H13" s="151">
        <f t="shared" si="2"/>
        <v>-394.68890567918316</v>
      </c>
      <c r="I13" s="152">
        <f t="shared" si="3"/>
        <v>-246.13238609360053</v>
      </c>
      <c r="J13" s="118">
        <f t="shared" si="0"/>
        <v>-148.55651958558263</v>
      </c>
      <c r="K13" s="118">
        <f t="shared" si="4"/>
        <v>58923.216142878548</v>
      </c>
    </row>
    <row r="14" spans="2:13" x14ac:dyDescent="0.3">
      <c r="G14" s="149">
        <f t="shared" si="1"/>
        <v>7</v>
      </c>
      <c r="H14" s="151">
        <f t="shared" si="2"/>
        <v>-394.68890567918316</v>
      </c>
      <c r="I14" s="152">
        <f t="shared" si="3"/>
        <v>-245.51340059532728</v>
      </c>
      <c r="J14" s="118">
        <f t="shared" si="0"/>
        <v>-149.17550508385588</v>
      </c>
      <c r="K14" s="118">
        <f t="shared" si="4"/>
        <v>58774.040637794693</v>
      </c>
      <c r="M14" s="19"/>
    </row>
    <row r="15" spans="2:13" x14ac:dyDescent="0.3">
      <c r="G15" s="149">
        <f t="shared" si="1"/>
        <v>8</v>
      </c>
      <c r="H15" s="151">
        <f t="shared" si="2"/>
        <v>-394.68890567918316</v>
      </c>
      <c r="I15" s="152">
        <f t="shared" si="3"/>
        <v>-244.89183599081122</v>
      </c>
      <c r="J15" s="118">
        <f t="shared" si="0"/>
        <v>-149.79706968837195</v>
      </c>
      <c r="K15" s="118">
        <f t="shared" si="4"/>
        <v>58624.243568106322</v>
      </c>
    </row>
    <row r="16" spans="2:13" x14ac:dyDescent="0.3">
      <c r="G16" s="149">
        <f t="shared" si="1"/>
        <v>9</v>
      </c>
      <c r="H16" s="151">
        <f t="shared" si="2"/>
        <v>-394.68890567918316</v>
      </c>
      <c r="I16" s="152">
        <f t="shared" si="3"/>
        <v>-244.26768153377634</v>
      </c>
      <c r="J16" s="118">
        <f t="shared" si="0"/>
        <v>-150.42122414540682</v>
      </c>
      <c r="K16" s="118">
        <f t="shared" si="4"/>
        <v>58473.822343960914</v>
      </c>
    </row>
    <row r="17" spans="5:11" x14ac:dyDescent="0.3">
      <c r="G17" s="149">
        <f t="shared" si="1"/>
        <v>10</v>
      </c>
      <c r="H17" s="151">
        <f t="shared" si="2"/>
        <v>-394.68890567918316</v>
      </c>
      <c r="I17" s="152">
        <f t="shared" si="3"/>
        <v>-243.64092643317048</v>
      </c>
      <c r="J17" s="118">
        <f t="shared" si="0"/>
        <v>-151.04797924601269</v>
      </c>
      <c r="K17" s="118">
        <f t="shared" si="4"/>
        <v>58322.774364714904</v>
      </c>
    </row>
    <row r="18" spans="5:11" x14ac:dyDescent="0.3">
      <c r="G18" s="149">
        <f t="shared" si="1"/>
        <v>11</v>
      </c>
      <c r="H18" s="151">
        <f t="shared" si="2"/>
        <v>-394.68890567918316</v>
      </c>
      <c r="I18" s="152">
        <f t="shared" si="3"/>
        <v>-243.01155985297876</v>
      </c>
      <c r="J18" s="118">
        <f t="shared" si="0"/>
        <v>-151.6773458262044</v>
      </c>
      <c r="K18" s="118">
        <f t="shared" si="4"/>
        <v>58171.0970188887</v>
      </c>
    </row>
    <row r="19" spans="5:11" x14ac:dyDescent="0.3">
      <c r="G19" s="149">
        <f t="shared" si="1"/>
        <v>12</v>
      </c>
      <c r="H19" s="151">
        <f t="shared" si="2"/>
        <v>-394.68890567918316</v>
      </c>
      <c r="I19" s="152">
        <f t="shared" si="3"/>
        <v>-242.37957091203626</v>
      </c>
      <c r="J19" s="118">
        <f t="shared" si="0"/>
        <v>-152.30933476714691</v>
      </c>
      <c r="K19" s="118">
        <f t="shared" si="4"/>
        <v>58018.787684121555</v>
      </c>
    </row>
    <row r="20" spans="5:11" x14ac:dyDescent="0.3">
      <c r="G20" s="149">
        <f t="shared" si="1"/>
        <v>13</v>
      </c>
      <c r="H20" s="151">
        <f t="shared" si="2"/>
        <v>-394.68890567918316</v>
      </c>
      <c r="I20" s="152">
        <f t="shared" si="3"/>
        <v>-241.74494868383979</v>
      </c>
      <c r="J20" s="118">
        <f t="shared" si="0"/>
        <v>-152.94395699534337</v>
      </c>
      <c r="K20" s="118">
        <f t="shared" si="4"/>
        <v>57865.843727126208</v>
      </c>
    </row>
    <row r="21" spans="5:11" x14ac:dyDescent="0.3">
      <c r="G21" s="149">
        <f t="shared" si="1"/>
        <v>14</v>
      </c>
      <c r="H21" s="151">
        <f t="shared" si="2"/>
        <v>-394.68890567918316</v>
      </c>
      <c r="I21" s="152">
        <f t="shared" si="3"/>
        <v>-241.10768219635921</v>
      </c>
      <c r="J21" s="118">
        <f t="shared" si="0"/>
        <v>-153.58122348282396</v>
      </c>
      <c r="K21" s="118">
        <f t="shared" si="4"/>
        <v>57712.262503643382</v>
      </c>
    </row>
    <row r="22" spans="5:11" x14ac:dyDescent="0.3">
      <c r="G22" s="149">
        <f t="shared" si="1"/>
        <v>15</v>
      </c>
      <c r="H22" s="151">
        <f t="shared" si="2"/>
        <v>-394.68890567918316</v>
      </c>
      <c r="I22" s="152">
        <f t="shared" si="3"/>
        <v>-240.46776043184741</v>
      </c>
      <c r="J22" s="118">
        <f t="shared" si="0"/>
        <v>-154.22114524733576</v>
      </c>
      <c r="K22" s="118">
        <f t="shared" si="4"/>
        <v>57558.041358396047</v>
      </c>
    </row>
    <row r="23" spans="5:11" x14ac:dyDescent="0.3">
      <c r="E23" s="19">
        <f>H17*10</f>
        <v>-3946.8890567918315</v>
      </c>
      <c r="G23" s="149">
        <f t="shared" si="1"/>
        <v>16</v>
      </c>
      <c r="H23" s="151">
        <f t="shared" si="2"/>
        <v>-394.68890567918316</v>
      </c>
      <c r="I23" s="152">
        <f t="shared" si="3"/>
        <v>-239.8251723266502</v>
      </c>
      <c r="J23" s="118">
        <f t="shared" si="0"/>
        <v>-154.86373335253296</v>
      </c>
      <c r="K23" s="118">
        <f t="shared" si="4"/>
        <v>57403.177625043514</v>
      </c>
    </row>
    <row r="24" spans="5:11" x14ac:dyDescent="0.3">
      <c r="G24" s="149">
        <f t="shared" si="1"/>
        <v>17</v>
      </c>
      <c r="H24" s="151">
        <f t="shared" si="2"/>
        <v>-394.68890567918316</v>
      </c>
      <c r="I24" s="152">
        <f t="shared" si="3"/>
        <v>-239.17990677101463</v>
      </c>
      <c r="J24" s="118">
        <f t="shared" si="0"/>
        <v>-155.50899890816854</v>
      </c>
      <c r="K24" s="118">
        <f t="shared" si="4"/>
        <v>57247.668626135346</v>
      </c>
    </row>
    <row r="25" spans="5:11" x14ac:dyDescent="0.3">
      <c r="G25" s="149">
        <f t="shared" si="1"/>
        <v>18</v>
      </c>
      <c r="H25" s="151">
        <f t="shared" si="2"/>
        <v>-394.68890567918316</v>
      </c>
      <c r="I25" s="152">
        <f t="shared" si="3"/>
        <v>-238.53195260889729</v>
      </c>
      <c r="J25" s="118">
        <f t="shared" si="0"/>
        <v>-156.15695307028588</v>
      </c>
      <c r="K25" s="118">
        <f t="shared" si="4"/>
        <v>57091.511673065062</v>
      </c>
    </row>
    <row r="26" spans="5:11" x14ac:dyDescent="0.3">
      <c r="G26" s="149">
        <f t="shared" si="1"/>
        <v>19</v>
      </c>
      <c r="H26" s="151">
        <f t="shared" si="2"/>
        <v>-394.68890567918316</v>
      </c>
      <c r="I26" s="152">
        <f t="shared" si="3"/>
        <v>-237.8812986377711</v>
      </c>
      <c r="J26" s="118">
        <f t="shared" si="0"/>
        <v>-156.80760704141207</v>
      </c>
      <c r="K26" s="118">
        <f t="shared" si="4"/>
        <v>56934.704066023653</v>
      </c>
    </row>
    <row r="27" spans="5:11" x14ac:dyDescent="0.3">
      <c r="G27" s="149">
        <f t="shared" si="1"/>
        <v>20</v>
      </c>
      <c r="H27" s="151">
        <f t="shared" si="2"/>
        <v>-394.68890567918316</v>
      </c>
      <c r="I27" s="152">
        <f t="shared" si="3"/>
        <v>-237.22793360843187</v>
      </c>
      <c r="J27" s="118">
        <f t="shared" si="0"/>
        <v>-157.4609720707513</v>
      </c>
      <c r="K27" s="118">
        <f t="shared" si="4"/>
        <v>56777.2430939529</v>
      </c>
    </row>
    <row r="28" spans="5:11" x14ac:dyDescent="0.3">
      <c r="G28" s="149">
        <f t="shared" si="1"/>
        <v>21</v>
      </c>
      <c r="H28" s="151">
        <f t="shared" si="2"/>
        <v>-394.68890567918316</v>
      </c>
      <c r="I28" s="152">
        <f t="shared" si="3"/>
        <v>-236.57184622480375</v>
      </c>
      <c r="J28" s="118">
        <f t="shared" si="0"/>
        <v>-158.11705945437942</v>
      </c>
      <c r="K28" s="118">
        <f t="shared" si="4"/>
        <v>56619.12603449852</v>
      </c>
    </row>
    <row r="29" spans="5:11" x14ac:dyDescent="0.3">
      <c r="G29" s="149">
        <f t="shared" si="1"/>
        <v>22</v>
      </c>
      <c r="H29" s="151">
        <f t="shared" si="2"/>
        <v>-394.68890567918316</v>
      </c>
      <c r="I29" s="152">
        <f t="shared" si="3"/>
        <v>-235.91302514374382</v>
      </c>
      <c r="J29" s="118">
        <f t="shared" si="0"/>
        <v>-158.77588053543934</v>
      </c>
      <c r="K29" s="118">
        <f t="shared" si="4"/>
        <v>56460.350153963082</v>
      </c>
    </row>
    <row r="30" spans="5:11" x14ac:dyDescent="0.3">
      <c r="G30" s="149">
        <f t="shared" si="1"/>
        <v>23</v>
      </c>
      <c r="H30" s="151">
        <f t="shared" si="2"/>
        <v>-394.68890567918316</v>
      </c>
      <c r="I30" s="152">
        <f t="shared" si="3"/>
        <v>-235.25145897484617</v>
      </c>
      <c r="J30" s="118">
        <f t="shared" si="0"/>
        <v>-159.43744670433699</v>
      </c>
      <c r="K30" s="118">
        <f t="shared" si="4"/>
        <v>56300.912707258743</v>
      </c>
    </row>
    <row r="31" spans="5:11" x14ac:dyDescent="0.3">
      <c r="G31" s="149">
        <f t="shared" si="1"/>
        <v>24</v>
      </c>
      <c r="H31" s="151">
        <f t="shared" si="2"/>
        <v>-394.68890567918316</v>
      </c>
      <c r="I31" s="152">
        <f t="shared" si="3"/>
        <v>-234.58713628024475</v>
      </c>
      <c r="J31" s="118">
        <f t="shared" si="0"/>
        <v>-160.10176939893842</v>
      </c>
      <c r="K31" s="118">
        <f t="shared" si="4"/>
        <v>56140.810937859802</v>
      </c>
    </row>
    <row r="32" spans="5:11" x14ac:dyDescent="0.3">
      <c r="G32" s="149">
        <f t="shared" si="1"/>
        <v>25</v>
      </c>
      <c r="H32" s="151">
        <f t="shared" si="2"/>
        <v>-394.68890567918316</v>
      </c>
      <c r="I32" s="152">
        <f t="shared" si="3"/>
        <v>-233.92004557441584</v>
      </c>
      <c r="J32" s="118">
        <f t="shared" si="0"/>
        <v>-160.76886010476733</v>
      </c>
      <c r="K32" s="118">
        <f t="shared" si="4"/>
        <v>55980.042077755032</v>
      </c>
    </row>
    <row r="33" spans="7:11" x14ac:dyDescent="0.3">
      <c r="G33" s="149">
        <f t="shared" si="1"/>
        <v>26</v>
      </c>
      <c r="H33" s="151">
        <f t="shared" si="2"/>
        <v>-394.68890567918316</v>
      </c>
      <c r="I33" s="152">
        <f t="shared" si="3"/>
        <v>-233.25017532397931</v>
      </c>
      <c r="J33" s="118">
        <f t="shared" si="0"/>
        <v>-161.43873035520386</v>
      </c>
      <c r="K33" s="118">
        <f t="shared" si="4"/>
        <v>55818.603347399825</v>
      </c>
    </row>
    <row r="34" spans="7:11" x14ac:dyDescent="0.3">
      <c r="G34" s="149">
        <f t="shared" si="1"/>
        <v>27</v>
      </c>
      <c r="H34" s="151">
        <f t="shared" si="2"/>
        <v>-394.68890567918316</v>
      </c>
      <c r="I34" s="152">
        <f t="shared" si="3"/>
        <v>-232.57751394749926</v>
      </c>
      <c r="J34" s="118">
        <f t="shared" si="0"/>
        <v>-162.11139173168391</v>
      </c>
      <c r="K34" s="118">
        <f t="shared" si="4"/>
        <v>55656.491955668142</v>
      </c>
    </row>
    <row r="35" spans="7:11" x14ac:dyDescent="0.3">
      <c r="G35" s="149">
        <f t="shared" si="1"/>
        <v>28</v>
      </c>
      <c r="H35" s="151">
        <f t="shared" si="2"/>
        <v>-394.68890567918316</v>
      </c>
      <c r="I35" s="152">
        <f t="shared" si="3"/>
        <v>-231.90204981528393</v>
      </c>
      <c r="J35" s="118">
        <f t="shared" si="0"/>
        <v>-162.78685586389923</v>
      </c>
      <c r="K35" s="118">
        <f t="shared" si="4"/>
        <v>55493.70509980424</v>
      </c>
    </row>
    <row r="36" spans="7:11" x14ac:dyDescent="0.3">
      <c r="G36" s="149">
        <f t="shared" si="1"/>
        <v>29</v>
      </c>
      <c r="H36" s="151">
        <f t="shared" si="2"/>
        <v>-394.68890567918316</v>
      </c>
      <c r="I36" s="152">
        <f t="shared" si="3"/>
        <v>-231.22377124918432</v>
      </c>
      <c r="J36" s="118">
        <f t="shared" si="0"/>
        <v>-163.46513442999884</v>
      </c>
      <c r="K36" s="118">
        <f t="shared" si="4"/>
        <v>55330.23996537424</v>
      </c>
    </row>
    <row r="37" spans="7:11" x14ac:dyDescent="0.3">
      <c r="G37" s="149">
        <f t="shared" si="1"/>
        <v>30</v>
      </c>
      <c r="H37" s="151">
        <f t="shared" si="2"/>
        <v>-394.68890567918316</v>
      </c>
      <c r="I37" s="152">
        <f t="shared" si="3"/>
        <v>-230.54266652239266</v>
      </c>
      <c r="J37" s="118">
        <f t="shared" si="0"/>
        <v>-164.1462391567905</v>
      </c>
      <c r="K37" s="118">
        <f t="shared" si="4"/>
        <v>55166.093726217448</v>
      </c>
    </row>
    <row r="38" spans="7:11" x14ac:dyDescent="0.3">
      <c r="G38" s="149">
        <f t="shared" si="1"/>
        <v>31</v>
      </c>
      <c r="H38" s="151">
        <f t="shared" si="2"/>
        <v>-394.68890567918316</v>
      </c>
      <c r="I38" s="152">
        <f t="shared" si="3"/>
        <v>-229.85872385923938</v>
      </c>
      <c r="J38" s="118">
        <f t="shared" si="0"/>
        <v>-164.83018181994379</v>
      </c>
      <c r="K38" s="118">
        <f t="shared" si="4"/>
        <v>55001.263544397501</v>
      </c>
    </row>
    <row r="39" spans="7:11" x14ac:dyDescent="0.3">
      <c r="G39" s="149">
        <f t="shared" si="1"/>
        <v>32</v>
      </c>
      <c r="H39" s="151">
        <f t="shared" si="2"/>
        <v>-394.68890567918316</v>
      </c>
      <c r="I39" s="152">
        <f t="shared" si="3"/>
        <v>-229.17193143498957</v>
      </c>
      <c r="J39" s="118">
        <f t="shared" si="0"/>
        <v>-165.51697424419359</v>
      </c>
      <c r="K39" s="118">
        <f t="shared" si="4"/>
        <v>54835.746570153307</v>
      </c>
    </row>
    <row r="40" spans="7:11" x14ac:dyDescent="0.3">
      <c r="G40" s="149">
        <f t="shared" si="1"/>
        <v>33</v>
      </c>
      <c r="H40" s="151">
        <f t="shared" si="2"/>
        <v>-394.68890567918316</v>
      </c>
      <c r="I40" s="152">
        <f t="shared" si="3"/>
        <v>-228.48227737563877</v>
      </c>
      <c r="J40" s="118">
        <f t="shared" si="0"/>
        <v>-166.20662830354439</v>
      </c>
      <c r="K40" s="118">
        <f t="shared" si="4"/>
        <v>54669.539941849762</v>
      </c>
    </row>
    <row r="41" spans="7:11" x14ac:dyDescent="0.3">
      <c r="G41" s="149">
        <f t="shared" si="1"/>
        <v>34</v>
      </c>
      <c r="H41" s="151">
        <f t="shared" si="2"/>
        <v>-394.68890567918316</v>
      </c>
      <c r="I41" s="152">
        <f t="shared" si="3"/>
        <v>-227.78974975770734</v>
      </c>
      <c r="J41" s="118">
        <f t="shared" si="0"/>
        <v>-166.89915592147582</v>
      </c>
      <c r="K41" s="118">
        <f t="shared" si="4"/>
        <v>54502.640785928284</v>
      </c>
    </row>
    <row r="42" spans="7:11" x14ac:dyDescent="0.3">
      <c r="G42" s="149">
        <f t="shared" si="1"/>
        <v>35</v>
      </c>
      <c r="H42" s="151">
        <f t="shared" si="2"/>
        <v>-394.68890567918316</v>
      </c>
      <c r="I42" s="152">
        <f t="shared" si="3"/>
        <v>-227.09433660803452</v>
      </c>
      <c r="J42" s="118">
        <f t="shared" si="0"/>
        <v>-167.59456907114864</v>
      </c>
      <c r="K42" s="118">
        <f t="shared" si="4"/>
        <v>54335.046216857139</v>
      </c>
    </row>
    <row r="43" spans="7:11" x14ac:dyDescent="0.3">
      <c r="G43" s="149">
        <f t="shared" si="1"/>
        <v>36</v>
      </c>
      <c r="H43" s="151">
        <f t="shared" si="2"/>
        <v>-394.68890567918316</v>
      </c>
      <c r="I43" s="152">
        <f t="shared" si="3"/>
        <v>-226.3960259035714</v>
      </c>
      <c r="J43" s="118">
        <f t="shared" si="0"/>
        <v>-168.29287977561177</v>
      </c>
      <c r="K43" s="118">
        <f t="shared" si="4"/>
        <v>54166.753337081529</v>
      </c>
    </row>
    <row r="44" spans="7:11" x14ac:dyDescent="0.3">
      <c r="G44" s="149">
        <f t="shared" si="1"/>
        <v>37</v>
      </c>
      <c r="H44" s="151">
        <f t="shared" si="2"/>
        <v>-394.68890567918316</v>
      </c>
      <c r="I44" s="152">
        <f t="shared" si="3"/>
        <v>-225.69480557117302</v>
      </c>
      <c r="J44" s="118">
        <f t="shared" si="0"/>
        <v>-168.99410010801014</v>
      </c>
      <c r="K44" s="118">
        <f t="shared" si="4"/>
        <v>53997.759236973521</v>
      </c>
    </row>
    <row r="45" spans="7:11" x14ac:dyDescent="0.3">
      <c r="G45" s="149">
        <f t="shared" si="1"/>
        <v>38</v>
      </c>
      <c r="H45" s="151">
        <f t="shared" si="2"/>
        <v>-394.68890567918316</v>
      </c>
      <c r="I45" s="152">
        <f t="shared" si="3"/>
        <v>-224.99066348738967</v>
      </c>
      <c r="J45" s="118">
        <f t="shared" si="0"/>
        <v>-169.6982421917935</v>
      </c>
      <c r="K45" s="118">
        <f t="shared" si="4"/>
        <v>53828.060994781728</v>
      </c>
    </row>
    <row r="46" spans="7:11" x14ac:dyDescent="0.3">
      <c r="G46" s="149">
        <f t="shared" si="1"/>
        <v>39</v>
      </c>
      <c r="H46" s="151">
        <f t="shared" si="2"/>
        <v>-394.68890567918316</v>
      </c>
      <c r="I46" s="152">
        <f t="shared" si="3"/>
        <v>-224.2835874782572</v>
      </c>
      <c r="J46" s="118">
        <f t="shared" si="0"/>
        <v>-170.40531820092596</v>
      </c>
      <c r="K46" s="118">
        <f t="shared" si="4"/>
        <v>53657.655676580805</v>
      </c>
    </row>
    <row r="47" spans="7:11" x14ac:dyDescent="0.3">
      <c r="G47" s="149">
        <f t="shared" si="1"/>
        <v>40</v>
      </c>
      <c r="H47" s="151">
        <f t="shared" si="2"/>
        <v>-394.68890567918316</v>
      </c>
      <c r="I47" s="152">
        <f t="shared" si="3"/>
        <v>-223.5735653190867</v>
      </c>
      <c r="J47" s="118">
        <f t="shared" si="0"/>
        <v>-171.11534036009647</v>
      </c>
      <c r="K47" s="118">
        <f t="shared" si="4"/>
        <v>53486.540336220707</v>
      </c>
    </row>
    <row r="48" spans="7:11" x14ac:dyDescent="0.3">
      <c r="G48" s="149">
        <f t="shared" si="1"/>
        <v>41</v>
      </c>
      <c r="H48" s="151">
        <f t="shared" si="2"/>
        <v>-394.68890567918316</v>
      </c>
      <c r="I48" s="152">
        <f t="shared" si="3"/>
        <v>-222.86058473425294</v>
      </c>
      <c r="J48" s="118">
        <f t="shared" si="0"/>
        <v>-171.82832094493023</v>
      </c>
      <c r="K48" s="118">
        <f t="shared" si="4"/>
        <v>53314.712015275778</v>
      </c>
    </row>
    <row r="49" spans="7:11" x14ac:dyDescent="0.3">
      <c r="G49" s="149">
        <f t="shared" si="1"/>
        <v>42</v>
      </c>
      <c r="H49" s="151">
        <f t="shared" si="2"/>
        <v>-394.68890567918316</v>
      </c>
      <c r="I49" s="152">
        <f t="shared" si="3"/>
        <v>-222.14463339698241</v>
      </c>
      <c r="J49" s="118">
        <f t="shared" si="0"/>
        <v>-172.54427228220075</v>
      </c>
      <c r="K49" s="118">
        <f t="shared" si="4"/>
        <v>53142.167742993581</v>
      </c>
    </row>
    <row r="50" spans="7:11" x14ac:dyDescent="0.3">
      <c r="G50" s="149">
        <f t="shared" si="1"/>
        <v>43</v>
      </c>
      <c r="H50" s="151">
        <f t="shared" si="2"/>
        <v>-394.68890567918316</v>
      </c>
      <c r="I50" s="152">
        <f t="shared" si="3"/>
        <v>-221.42569892913991</v>
      </c>
      <c r="J50" s="118">
        <f t="shared" si="0"/>
        <v>-173.26320675004325</v>
      </c>
      <c r="K50" s="118">
        <f t="shared" si="4"/>
        <v>52968.904536243535</v>
      </c>
    </row>
    <row r="51" spans="7:11" x14ac:dyDescent="0.3">
      <c r="G51" s="149">
        <f t="shared" si="1"/>
        <v>44</v>
      </c>
      <c r="H51" s="151">
        <f t="shared" si="2"/>
        <v>-394.68890567918316</v>
      </c>
      <c r="I51" s="152">
        <f t="shared" si="3"/>
        <v>-220.70376890101474</v>
      </c>
      <c r="J51" s="118">
        <f t="shared" si="0"/>
        <v>-173.98513677816842</v>
      </c>
      <c r="K51" s="118">
        <f t="shared" si="4"/>
        <v>52794.919399465369</v>
      </c>
    </row>
    <row r="52" spans="7:11" x14ac:dyDescent="0.3">
      <c r="G52" s="149">
        <f t="shared" si="1"/>
        <v>45</v>
      </c>
      <c r="H52" s="151">
        <f t="shared" si="2"/>
        <v>-394.68890567918316</v>
      </c>
      <c r="I52" s="152">
        <f t="shared" si="3"/>
        <v>-219.97883083110571</v>
      </c>
      <c r="J52" s="118">
        <f t="shared" si="0"/>
        <v>-174.71007484807745</v>
      </c>
      <c r="K52" s="118">
        <f t="shared" si="4"/>
        <v>52620.209324617288</v>
      </c>
    </row>
    <row r="53" spans="7:11" x14ac:dyDescent="0.3">
      <c r="G53" s="149">
        <f t="shared" si="1"/>
        <v>46</v>
      </c>
      <c r="H53" s="151">
        <f t="shared" si="2"/>
        <v>-394.68890567918316</v>
      </c>
      <c r="I53" s="152">
        <f t="shared" si="3"/>
        <v>-219.25087218590537</v>
      </c>
      <c r="J53" s="118">
        <f t="shared" si="0"/>
        <v>-175.4380334932778</v>
      </c>
      <c r="K53" s="118">
        <f t="shared" si="4"/>
        <v>52444.771291124009</v>
      </c>
    </row>
    <row r="54" spans="7:11" x14ac:dyDescent="0.3">
      <c r="G54" s="149">
        <f t="shared" si="1"/>
        <v>47</v>
      </c>
      <c r="H54" s="151">
        <f t="shared" si="2"/>
        <v>-394.68890567918316</v>
      </c>
      <c r="I54" s="152">
        <f t="shared" si="3"/>
        <v>-218.51988037968337</v>
      </c>
      <c r="J54" s="118">
        <f t="shared" si="0"/>
        <v>-176.16902529949979</v>
      </c>
      <c r="K54" s="118">
        <f t="shared" si="4"/>
        <v>52268.602265824506</v>
      </c>
    </row>
    <row r="55" spans="7:11" x14ac:dyDescent="0.3">
      <c r="G55" s="149">
        <f t="shared" si="1"/>
        <v>48</v>
      </c>
      <c r="H55" s="151">
        <f t="shared" si="2"/>
        <v>-394.68890567918316</v>
      </c>
      <c r="I55" s="152">
        <f t="shared" si="3"/>
        <v>-217.78584277426876</v>
      </c>
      <c r="J55" s="118">
        <f t="shared" si="0"/>
        <v>-176.90306290491441</v>
      </c>
      <c r="K55" s="118">
        <f t="shared" si="4"/>
        <v>52091.69920291959</v>
      </c>
    </row>
    <row r="56" spans="7:11" x14ac:dyDescent="0.3">
      <c r="G56" s="149">
        <f t="shared" si="1"/>
        <v>49</v>
      </c>
      <c r="H56" s="151">
        <f t="shared" si="2"/>
        <v>-394.68890567918316</v>
      </c>
      <c r="I56" s="152">
        <f t="shared" si="3"/>
        <v>-217.04874667883163</v>
      </c>
      <c r="J56" s="118">
        <f t="shared" si="0"/>
        <v>-177.64015900035153</v>
      </c>
      <c r="K56" s="118">
        <f t="shared" si="4"/>
        <v>51914.059043919238</v>
      </c>
    </row>
    <row r="57" spans="7:11" x14ac:dyDescent="0.3">
      <c r="G57" s="149">
        <f t="shared" si="1"/>
        <v>50</v>
      </c>
      <c r="H57" s="151">
        <f t="shared" si="2"/>
        <v>-394.68890567918316</v>
      </c>
      <c r="I57" s="152">
        <f t="shared" si="3"/>
        <v>-216.30857934966349</v>
      </c>
      <c r="J57" s="118">
        <f t="shared" si="0"/>
        <v>-178.38032632951968</v>
      </c>
      <c r="K57" s="118">
        <f t="shared" si="4"/>
        <v>51735.678717589719</v>
      </c>
    </row>
    <row r="58" spans="7:11" x14ac:dyDescent="0.3">
      <c r="G58" s="149">
        <f t="shared" si="1"/>
        <v>51</v>
      </c>
      <c r="H58" s="151">
        <f t="shared" si="2"/>
        <v>-394.68890567918316</v>
      </c>
      <c r="I58" s="152">
        <f t="shared" si="3"/>
        <v>-215.56532798995715</v>
      </c>
      <c r="J58" s="118">
        <f t="shared" si="0"/>
        <v>-179.12357768922601</v>
      </c>
      <c r="K58" s="118">
        <f t="shared" si="4"/>
        <v>51556.555139900491</v>
      </c>
    </row>
    <row r="59" spans="7:11" x14ac:dyDescent="0.3">
      <c r="G59" s="149">
        <f t="shared" si="1"/>
        <v>52</v>
      </c>
      <c r="H59" s="151">
        <f t="shared" si="2"/>
        <v>-394.68890567918316</v>
      </c>
      <c r="I59" s="152">
        <f t="shared" si="3"/>
        <v>-214.81897974958537</v>
      </c>
      <c r="J59" s="118">
        <f t="shared" si="0"/>
        <v>-179.8699259295978</v>
      </c>
      <c r="K59" s="118">
        <f t="shared" si="4"/>
        <v>51376.685213970894</v>
      </c>
    </row>
    <row r="60" spans="7:11" x14ac:dyDescent="0.3">
      <c r="G60" s="149">
        <f t="shared" si="1"/>
        <v>53</v>
      </c>
      <c r="H60" s="151">
        <f t="shared" si="2"/>
        <v>-394.68890567918316</v>
      </c>
      <c r="I60" s="152">
        <f t="shared" si="3"/>
        <v>-214.06952172487871</v>
      </c>
      <c r="J60" s="118">
        <f t="shared" si="0"/>
        <v>-180.61938395430445</v>
      </c>
      <c r="K60" s="118">
        <f t="shared" si="4"/>
        <v>51196.065830016589</v>
      </c>
    </row>
    <row r="61" spans="7:11" x14ac:dyDescent="0.3">
      <c r="G61" s="149">
        <f t="shared" si="1"/>
        <v>54</v>
      </c>
      <c r="H61" s="151">
        <f t="shared" si="2"/>
        <v>-394.68890567918316</v>
      </c>
      <c r="I61" s="152">
        <f t="shared" si="3"/>
        <v>-213.31694095840245</v>
      </c>
      <c r="J61" s="118">
        <f t="shared" si="0"/>
        <v>-181.37196472078071</v>
      </c>
      <c r="K61" s="118">
        <f t="shared" si="4"/>
        <v>51014.693865295805</v>
      </c>
    </row>
    <row r="62" spans="7:11" x14ac:dyDescent="0.3">
      <c r="G62" s="149">
        <f t="shared" si="1"/>
        <v>55</v>
      </c>
      <c r="H62" s="151">
        <f t="shared" si="2"/>
        <v>-394.68890567918316</v>
      </c>
      <c r="I62" s="152">
        <f t="shared" si="3"/>
        <v>-212.56122443873252</v>
      </c>
      <c r="J62" s="118">
        <f t="shared" si="0"/>
        <v>-182.12768124045064</v>
      </c>
      <c r="K62" s="118">
        <f t="shared" si="4"/>
        <v>50832.566184055351</v>
      </c>
    </row>
    <row r="63" spans="7:11" x14ac:dyDescent="0.3">
      <c r="G63" s="149">
        <f t="shared" si="1"/>
        <v>56</v>
      </c>
      <c r="H63" s="151">
        <f t="shared" si="2"/>
        <v>-394.68890567918316</v>
      </c>
      <c r="I63" s="152">
        <f t="shared" si="3"/>
        <v>-211.80235910023063</v>
      </c>
      <c r="J63" s="118">
        <f t="shared" si="0"/>
        <v>-182.88654657895253</v>
      </c>
      <c r="K63" s="118">
        <f t="shared" si="4"/>
        <v>50649.679637476402</v>
      </c>
    </row>
    <row r="64" spans="7:11" x14ac:dyDescent="0.3">
      <c r="G64" s="149">
        <f t="shared" si="1"/>
        <v>57</v>
      </c>
      <c r="H64" s="151">
        <f t="shared" si="2"/>
        <v>-394.68890567918316</v>
      </c>
      <c r="I64" s="152">
        <f t="shared" si="3"/>
        <v>-211.04033182281833</v>
      </c>
      <c r="J64" s="118">
        <f t="shared" si="0"/>
        <v>-183.64857385636483</v>
      </c>
      <c r="K64" s="118">
        <f t="shared" si="4"/>
        <v>50466.031063620037</v>
      </c>
    </row>
    <row r="65" spans="5:11" x14ac:dyDescent="0.3">
      <c r="G65" s="149">
        <f t="shared" si="1"/>
        <v>58</v>
      </c>
      <c r="H65" s="151">
        <f t="shared" si="2"/>
        <v>-394.68890567918316</v>
      </c>
      <c r="I65" s="152">
        <f t="shared" si="3"/>
        <v>-210.27512943175014</v>
      </c>
      <c r="J65" s="118">
        <f t="shared" si="0"/>
        <v>-184.41377624743302</v>
      </c>
      <c r="K65" s="118">
        <f t="shared" si="4"/>
        <v>50281.617287372603</v>
      </c>
    </row>
    <row r="66" spans="5:11" x14ac:dyDescent="0.3">
      <c r="G66" s="149">
        <f t="shared" si="1"/>
        <v>59</v>
      </c>
      <c r="H66" s="151">
        <f t="shared" si="2"/>
        <v>-394.68890567918316</v>
      </c>
      <c r="I66" s="152">
        <f t="shared" si="3"/>
        <v>-209.50673869738583</v>
      </c>
      <c r="J66" s="118">
        <f t="shared" si="0"/>
        <v>-185.18216698179734</v>
      </c>
      <c r="K66" s="118">
        <f t="shared" si="4"/>
        <v>50096.435120390808</v>
      </c>
    </row>
    <row r="67" spans="5:11" x14ac:dyDescent="0.3">
      <c r="E67" t="s">
        <v>122</v>
      </c>
      <c r="G67" s="149">
        <f t="shared" si="1"/>
        <v>60</v>
      </c>
      <c r="H67" s="151">
        <f t="shared" si="2"/>
        <v>-394.68890567918316</v>
      </c>
      <c r="I67" s="152">
        <f t="shared" si="3"/>
        <v>-208.73514633496168</v>
      </c>
      <c r="J67" s="118">
        <f t="shared" si="0"/>
        <v>-185.95375934422148</v>
      </c>
      <c r="K67" s="118">
        <f t="shared" si="4"/>
        <v>49910.481361046586</v>
      </c>
    </row>
    <row r="68" spans="5:11" x14ac:dyDescent="0.3">
      <c r="G68" s="112">
        <f t="shared" si="1"/>
        <v>61</v>
      </c>
      <c r="H68" s="113">
        <f t="shared" si="2"/>
        <v>-394.68890567918316</v>
      </c>
      <c r="I68" s="114">
        <f t="shared" si="3"/>
        <v>-207.96033900436078</v>
      </c>
      <c r="J68" s="115">
        <f t="shared" si="0"/>
        <v>-186.72856667482239</v>
      </c>
      <c r="K68" s="115">
        <f t="shared" si="4"/>
        <v>49723.752794371765</v>
      </c>
    </row>
    <row r="69" spans="5:11" x14ac:dyDescent="0.3">
      <c r="G69" s="112">
        <f t="shared" si="1"/>
        <v>62</v>
      </c>
      <c r="H69" s="113">
        <f t="shared" si="2"/>
        <v>-394.68890567918316</v>
      </c>
      <c r="I69" s="114">
        <f t="shared" si="3"/>
        <v>-207.18230330988234</v>
      </c>
      <c r="J69" s="115">
        <f t="shared" si="0"/>
        <v>-187.50660236930082</v>
      </c>
      <c r="K69" s="115">
        <f t="shared" si="4"/>
        <v>49536.246192002465</v>
      </c>
    </row>
    <row r="70" spans="5:11" x14ac:dyDescent="0.3">
      <c r="G70" s="112">
        <f t="shared" si="1"/>
        <v>63</v>
      </c>
      <c r="H70" s="113">
        <f t="shared" si="2"/>
        <v>-394.68890567918316</v>
      </c>
      <c r="I70" s="114">
        <f t="shared" si="3"/>
        <v>-206.40102580001027</v>
      </c>
      <c r="J70" s="115">
        <f t="shared" si="0"/>
        <v>-188.28787987917289</v>
      </c>
      <c r="K70" s="115">
        <f t="shared" si="4"/>
        <v>49347.958312123294</v>
      </c>
    </row>
    <row r="71" spans="5:11" x14ac:dyDescent="0.3">
      <c r="G71" s="112">
        <f t="shared" si="1"/>
        <v>64</v>
      </c>
      <c r="H71" s="113">
        <f t="shared" si="2"/>
        <v>-394.68890567918316</v>
      </c>
      <c r="I71" s="114">
        <f t="shared" si="3"/>
        <v>-205.61649296718039</v>
      </c>
      <c r="J71" s="115">
        <f t="shared" si="0"/>
        <v>-189.07241271200277</v>
      </c>
      <c r="K71" s="115">
        <f t="shared" si="4"/>
        <v>49158.885899411289</v>
      </c>
    </row>
    <row r="72" spans="5:11" x14ac:dyDescent="0.3">
      <c r="G72" s="112">
        <f t="shared" si="1"/>
        <v>65</v>
      </c>
      <c r="H72" s="113">
        <f t="shared" si="2"/>
        <v>-394.68890567918316</v>
      </c>
      <c r="I72" s="114">
        <f t="shared" si="3"/>
        <v>-204.82869124754703</v>
      </c>
      <c r="J72" s="115">
        <f t="shared" ref="J72:J135" si="5">H72-I72</f>
        <v>-189.86021443163614</v>
      </c>
      <c r="K72" s="115">
        <f t="shared" si="4"/>
        <v>48969.02568497965</v>
      </c>
    </row>
    <row r="73" spans="5:11" x14ac:dyDescent="0.3">
      <c r="G73" s="112">
        <f t="shared" ref="G73:G136" si="6">G72+1</f>
        <v>66</v>
      </c>
      <c r="H73" s="113">
        <f t="shared" ref="H73:H136" si="7">PMT($D$5/12,$D$7,$D$4)</f>
        <v>-394.68890567918316</v>
      </c>
      <c r="I73" s="114">
        <f t="shared" ref="I73:I136" si="8">-K72*$D$6</f>
        <v>-204.03760702074854</v>
      </c>
      <c r="J73" s="115">
        <f t="shared" si="5"/>
        <v>-190.65129865843463</v>
      </c>
      <c r="K73" s="115">
        <f t="shared" ref="K73:K136" si="9">K72+J73</f>
        <v>48778.374386321215</v>
      </c>
    </row>
    <row r="74" spans="5:11" x14ac:dyDescent="0.3">
      <c r="G74" s="112">
        <f t="shared" si="6"/>
        <v>67</v>
      </c>
      <c r="H74" s="113">
        <f t="shared" si="7"/>
        <v>-394.68890567918316</v>
      </c>
      <c r="I74" s="114">
        <f t="shared" si="8"/>
        <v>-203.24322660967172</v>
      </c>
      <c r="J74" s="115">
        <f t="shared" si="5"/>
        <v>-191.44567906951144</v>
      </c>
      <c r="K74" s="115">
        <f t="shared" si="9"/>
        <v>48586.928707251704</v>
      </c>
    </row>
    <row r="75" spans="5:11" x14ac:dyDescent="0.3">
      <c r="G75" s="112">
        <f t="shared" si="6"/>
        <v>68</v>
      </c>
      <c r="H75" s="113">
        <f t="shared" si="7"/>
        <v>-394.68890567918316</v>
      </c>
      <c r="I75" s="114">
        <f t="shared" si="8"/>
        <v>-202.44553628021544</v>
      </c>
      <c r="J75" s="115">
        <f t="shared" si="5"/>
        <v>-192.24336939896773</v>
      </c>
      <c r="K75" s="115">
        <f t="shared" si="9"/>
        <v>48394.685337852738</v>
      </c>
    </row>
    <row r="76" spans="5:11" x14ac:dyDescent="0.3">
      <c r="G76" s="112">
        <f t="shared" si="6"/>
        <v>69</v>
      </c>
      <c r="H76" s="113">
        <f t="shared" si="7"/>
        <v>-394.68890567918316</v>
      </c>
      <c r="I76" s="114">
        <f t="shared" si="8"/>
        <v>-201.64452224105307</v>
      </c>
      <c r="J76" s="115">
        <f t="shared" si="5"/>
        <v>-193.0443834381301</v>
      </c>
      <c r="K76" s="115">
        <f t="shared" si="9"/>
        <v>48201.640954414608</v>
      </c>
    </row>
    <row r="77" spans="5:11" x14ac:dyDescent="0.3">
      <c r="G77" s="112">
        <f t="shared" si="6"/>
        <v>70</v>
      </c>
      <c r="H77" s="113">
        <f t="shared" si="7"/>
        <v>-394.68890567918316</v>
      </c>
      <c r="I77" s="114">
        <f t="shared" si="8"/>
        <v>-200.8401706433942</v>
      </c>
      <c r="J77" s="115">
        <f t="shared" si="5"/>
        <v>-193.84873503578896</v>
      </c>
      <c r="K77" s="115">
        <f t="shared" si="9"/>
        <v>48007.792219378818</v>
      </c>
    </row>
    <row r="78" spans="5:11" x14ac:dyDescent="0.3">
      <c r="G78" s="112">
        <f t="shared" si="6"/>
        <v>71</v>
      </c>
      <c r="H78" s="113">
        <f t="shared" si="7"/>
        <v>-394.68890567918316</v>
      </c>
      <c r="I78" s="114">
        <f t="shared" si="8"/>
        <v>-200.03246758074508</v>
      </c>
      <c r="J78" s="115">
        <f t="shared" si="5"/>
        <v>-194.65643809843809</v>
      </c>
      <c r="K78" s="115">
        <f t="shared" si="9"/>
        <v>47813.135781280384</v>
      </c>
    </row>
    <row r="79" spans="5:11" x14ac:dyDescent="0.3">
      <c r="G79" s="112">
        <f t="shared" si="6"/>
        <v>72</v>
      </c>
      <c r="H79" s="113">
        <f t="shared" si="7"/>
        <v>-394.68890567918316</v>
      </c>
      <c r="I79" s="114">
        <f t="shared" si="8"/>
        <v>-199.22139908866825</v>
      </c>
      <c r="J79" s="115">
        <f t="shared" si="5"/>
        <v>-195.46750659051492</v>
      </c>
      <c r="K79" s="115">
        <f t="shared" si="9"/>
        <v>47617.668274689866</v>
      </c>
    </row>
    <row r="80" spans="5:11" x14ac:dyDescent="0.3">
      <c r="G80" s="112">
        <f t="shared" si="6"/>
        <v>73</v>
      </c>
      <c r="H80" s="113">
        <f t="shared" si="7"/>
        <v>-394.68890567918316</v>
      </c>
      <c r="I80" s="114">
        <f t="shared" si="8"/>
        <v>-198.4069511445411</v>
      </c>
      <c r="J80" s="115">
        <f t="shared" si="5"/>
        <v>-196.28195453464207</v>
      </c>
      <c r="K80" s="115">
        <f t="shared" si="9"/>
        <v>47421.386320155223</v>
      </c>
    </row>
    <row r="81" spans="7:11" x14ac:dyDescent="0.3">
      <c r="G81" s="112">
        <f t="shared" si="6"/>
        <v>74</v>
      </c>
      <c r="H81" s="113">
        <f t="shared" si="7"/>
        <v>-394.68890567918316</v>
      </c>
      <c r="I81" s="114">
        <f t="shared" si="8"/>
        <v>-197.58910966731344</v>
      </c>
      <c r="J81" s="115">
        <f t="shared" si="5"/>
        <v>-197.09979601186973</v>
      </c>
      <c r="K81" s="115">
        <f t="shared" si="9"/>
        <v>47224.286524143354</v>
      </c>
    </row>
    <row r="82" spans="7:11" x14ac:dyDescent="0.3">
      <c r="G82" s="112">
        <f t="shared" si="6"/>
        <v>75</v>
      </c>
      <c r="H82" s="113">
        <f t="shared" si="7"/>
        <v>-394.68890567918316</v>
      </c>
      <c r="I82" s="114">
        <f t="shared" si="8"/>
        <v>-196.76786051726398</v>
      </c>
      <c r="J82" s="115">
        <f t="shared" si="5"/>
        <v>-197.92104516191918</v>
      </c>
      <c r="K82" s="115">
        <f t="shared" si="9"/>
        <v>47026.365478981432</v>
      </c>
    </row>
    <row r="83" spans="7:11" x14ac:dyDescent="0.3">
      <c r="G83" s="112">
        <f t="shared" si="6"/>
        <v>76</v>
      </c>
      <c r="H83" s="113">
        <f t="shared" si="7"/>
        <v>-394.68890567918316</v>
      </c>
      <c r="I83" s="114">
        <f t="shared" si="8"/>
        <v>-195.94318949575597</v>
      </c>
      <c r="J83" s="115">
        <f t="shared" si="5"/>
        <v>-198.74571618342719</v>
      </c>
      <c r="K83" s="115">
        <f t="shared" si="9"/>
        <v>46827.619762798007</v>
      </c>
    </row>
    <row r="84" spans="7:11" x14ac:dyDescent="0.3">
      <c r="G84" s="112">
        <f t="shared" si="6"/>
        <v>77</v>
      </c>
      <c r="H84" s="113">
        <f t="shared" si="7"/>
        <v>-394.68890567918316</v>
      </c>
      <c r="I84" s="114">
        <f t="shared" si="8"/>
        <v>-195.11508234499169</v>
      </c>
      <c r="J84" s="115">
        <f t="shared" si="5"/>
        <v>-199.57382333419147</v>
      </c>
      <c r="K84" s="115">
        <f t="shared" si="9"/>
        <v>46628.045939463816</v>
      </c>
    </row>
    <row r="85" spans="7:11" x14ac:dyDescent="0.3">
      <c r="G85" s="112">
        <f t="shared" si="6"/>
        <v>78</v>
      </c>
      <c r="H85" s="113">
        <f t="shared" si="7"/>
        <v>-394.68890567918316</v>
      </c>
      <c r="I85" s="114">
        <f t="shared" si="8"/>
        <v>-194.28352474776591</v>
      </c>
      <c r="J85" s="115">
        <f t="shared" si="5"/>
        <v>-200.40538093141726</v>
      </c>
      <c r="K85" s="115">
        <f t="shared" si="9"/>
        <v>46427.640558532403</v>
      </c>
    </row>
    <row r="86" spans="7:11" x14ac:dyDescent="0.3">
      <c r="G86" s="112">
        <f t="shared" si="6"/>
        <v>79</v>
      </c>
      <c r="H86" s="113">
        <f t="shared" si="7"/>
        <v>-394.68890567918316</v>
      </c>
      <c r="I86" s="114">
        <f t="shared" si="8"/>
        <v>-193.44850232721834</v>
      </c>
      <c r="J86" s="115">
        <f t="shared" si="5"/>
        <v>-201.24040335196483</v>
      </c>
      <c r="K86" s="115">
        <f t="shared" si="9"/>
        <v>46226.400155180439</v>
      </c>
    </row>
    <row r="87" spans="7:11" x14ac:dyDescent="0.3">
      <c r="G87" s="112">
        <f t="shared" si="6"/>
        <v>80</v>
      </c>
      <c r="H87" s="113">
        <f t="shared" si="7"/>
        <v>-394.68890567918316</v>
      </c>
      <c r="I87" s="114">
        <f t="shared" si="8"/>
        <v>-192.61000064658515</v>
      </c>
      <c r="J87" s="115">
        <f t="shared" si="5"/>
        <v>-202.07890503259802</v>
      </c>
      <c r="K87" s="115">
        <f t="shared" si="9"/>
        <v>46024.321250147841</v>
      </c>
    </row>
    <row r="88" spans="7:11" x14ac:dyDescent="0.3">
      <c r="G88" s="112">
        <f t="shared" si="6"/>
        <v>81</v>
      </c>
      <c r="H88" s="113">
        <f t="shared" si="7"/>
        <v>-394.68890567918316</v>
      </c>
      <c r="I88" s="114">
        <f t="shared" si="8"/>
        <v>-191.76800520894935</v>
      </c>
      <c r="J88" s="115">
        <f t="shared" si="5"/>
        <v>-202.92090047023382</v>
      </c>
      <c r="K88" s="115">
        <f t="shared" si="9"/>
        <v>45821.400349677606</v>
      </c>
    </row>
    <row r="89" spans="7:11" x14ac:dyDescent="0.3">
      <c r="G89" s="112">
        <f t="shared" si="6"/>
        <v>82</v>
      </c>
      <c r="H89" s="113">
        <f t="shared" si="7"/>
        <v>-394.68890567918316</v>
      </c>
      <c r="I89" s="114">
        <f t="shared" si="8"/>
        <v>-190.92250145699003</v>
      </c>
      <c r="J89" s="115">
        <f t="shared" si="5"/>
        <v>-203.76640422219313</v>
      </c>
      <c r="K89" s="115">
        <f t="shared" si="9"/>
        <v>45617.633945455411</v>
      </c>
    </row>
    <row r="90" spans="7:11" x14ac:dyDescent="0.3">
      <c r="G90" s="112">
        <f t="shared" si="6"/>
        <v>83</v>
      </c>
      <c r="H90" s="113">
        <f t="shared" si="7"/>
        <v>-394.68890567918316</v>
      </c>
      <c r="I90" s="114">
        <f t="shared" si="8"/>
        <v>-190.07347477273089</v>
      </c>
      <c r="J90" s="115">
        <f t="shared" si="5"/>
        <v>-204.61543090645227</v>
      </c>
      <c r="K90" s="115">
        <f t="shared" si="9"/>
        <v>45413.01851454896</v>
      </c>
    </row>
    <row r="91" spans="7:11" x14ac:dyDescent="0.3">
      <c r="G91" s="112">
        <f t="shared" si="6"/>
        <v>84</v>
      </c>
      <c r="H91" s="113">
        <f t="shared" si="7"/>
        <v>-394.68890567918316</v>
      </c>
      <c r="I91" s="114">
        <f t="shared" si="8"/>
        <v>-189.22091047728733</v>
      </c>
      <c r="J91" s="115">
        <f t="shared" si="5"/>
        <v>-205.46799520189583</v>
      </c>
      <c r="K91" s="115">
        <f t="shared" si="9"/>
        <v>45207.550519347067</v>
      </c>
    </row>
    <row r="92" spans="7:11" x14ac:dyDescent="0.3">
      <c r="G92" s="112">
        <f t="shared" si="6"/>
        <v>85</v>
      </c>
      <c r="H92" s="113">
        <f t="shared" si="7"/>
        <v>-394.68890567918316</v>
      </c>
      <c r="I92" s="114">
        <f t="shared" si="8"/>
        <v>-188.36479383061277</v>
      </c>
      <c r="J92" s="115">
        <f t="shared" si="5"/>
        <v>-206.3241118485704</v>
      </c>
      <c r="K92" s="115">
        <f t="shared" si="9"/>
        <v>45001.2264074985</v>
      </c>
    </row>
    <row r="93" spans="7:11" x14ac:dyDescent="0.3">
      <c r="G93" s="112">
        <f t="shared" si="6"/>
        <v>86</v>
      </c>
      <c r="H93" s="113">
        <f t="shared" si="7"/>
        <v>-394.68890567918316</v>
      </c>
      <c r="I93" s="114">
        <f t="shared" si="8"/>
        <v>-187.50511003124376</v>
      </c>
      <c r="J93" s="115">
        <f t="shared" si="5"/>
        <v>-207.18379564793941</v>
      </c>
      <c r="K93" s="115">
        <f t="shared" si="9"/>
        <v>44794.042611850557</v>
      </c>
    </row>
    <row r="94" spans="7:11" x14ac:dyDescent="0.3">
      <c r="G94" s="112">
        <f t="shared" si="6"/>
        <v>87</v>
      </c>
      <c r="H94" s="113">
        <f t="shared" si="7"/>
        <v>-394.68890567918316</v>
      </c>
      <c r="I94" s="114">
        <f t="shared" si="8"/>
        <v>-186.64184421604398</v>
      </c>
      <c r="J94" s="115">
        <f t="shared" si="5"/>
        <v>-208.04706146313919</v>
      </c>
      <c r="K94" s="115">
        <f t="shared" si="9"/>
        <v>44585.995550387415</v>
      </c>
    </row>
    <row r="95" spans="7:11" x14ac:dyDescent="0.3">
      <c r="G95" s="112">
        <f t="shared" si="6"/>
        <v>88</v>
      </c>
      <c r="H95" s="113">
        <f t="shared" si="7"/>
        <v>-394.68890567918316</v>
      </c>
      <c r="I95" s="114">
        <f t="shared" si="8"/>
        <v>-185.77498145994755</v>
      </c>
      <c r="J95" s="115">
        <f t="shared" si="5"/>
        <v>-208.91392421923561</v>
      </c>
      <c r="K95" s="115">
        <f t="shared" si="9"/>
        <v>44377.081626168183</v>
      </c>
    </row>
    <row r="96" spans="7:11" x14ac:dyDescent="0.3">
      <c r="G96" s="112">
        <f t="shared" si="6"/>
        <v>89</v>
      </c>
      <c r="H96" s="113">
        <f t="shared" si="7"/>
        <v>-394.68890567918316</v>
      </c>
      <c r="I96" s="114">
        <f t="shared" si="8"/>
        <v>-184.90450677570075</v>
      </c>
      <c r="J96" s="115">
        <f t="shared" si="5"/>
        <v>-209.78439890348241</v>
      </c>
      <c r="K96" s="115">
        <f t="shared" si="9"/>
        <v>44167.297227264702</v>
      </c>
    </row>
    <row r="97" spans="7:11" x14ac:dyDescent="0.3">
      <c r="G97" s="112">
        <f t="shared" si="6"/>
        <v>90</v>
      </c>
      <c r="H97" s="113">
        <f t="shared" si="7"/>
        <v>-394.68890567918316</v>
      </c>
      <c r="I97" s="114">
        <f t="shared" si="8"/>
        <v>-184.03040511360291</v>
      </c>
      <c r="J97" s="115">
        <f t="shared" si="5"/>
        <v>-210.65850056558025</v>
      </c>
      <c r="K97" s="115">
        <f t="shared" si="9"/>
        <v>43956.638726699122</v>
      </c>
    </row>
    <row r="98" spans="7:11" x14ac:dyDescent="0.3">
      <c r="G98" s="112">
        <f t="shared" si="6"/>
        <v>91</v>
      </c>
      <c r="H98" s="113">
        <f t="shared" si="7"/>
        <v>-394.68890567918316</v>
      </c>
      <c r="I98" s="114">
        <f t="shared" si="8"/>
        <v>-183.15266136124634</v>
      </c>
      <c r="J98" s="115">
        <f t="shared" si="5"/>
        <v>-211.53624431793682</v>
      </c>
      <c r="K98" s="115">
        <f t="shared" si="9"/>
        <v>43745.102482381182</v>
      </c>
    </row>
    <row r="99" spans="7:11" x14ac:dyDescent="0.3">
      <c r="G99" s="112">
        <f t="shared" si="6"/>
        <v>92</v>
      </c>
      <c r="H99" s="113">
        <f t="shared" si="7"/>
        <v>-394.68890567918316</v>
      </c>
      <c r="I99" s="114">
        <f t="shared" si="8"/>
        <v>-182.27126034325494</v>
      </c>
      <c r="J99" s="115">
        <f t="shared" si="5"/>
        <v>-212.41764533592823</v>
      </c>
      <c r="K99" s="115">
        <f t="shared" si="9"/>
        <v>43532.684837045257</v>
      </c>
    </row>
    <row r="100" spans="7:11" x14ac:dyDescent="0.3">
      <c r="G100" s="112">
        <f t="shared" si="6"/>
        <v>93</v>
      </c>
      <c r="H100" s="113">
        <f t="shared" si="7"/>
        <v>-394.68890567918316</v>
      </c>
      <c r="I100" s="114">
        <f t="shared" si="8"/>
        <v>-181.38618682102191</v>
      </c>
      <c r="J100" s="115">
        <f t="shared" si="5"/>
        <v>-213.30271885816126</v>
      </c>
      <c r="K100" s="115">
        <f t="shared" si="9"/>
        <v>43319.382118187095</v>
      </c>
    </row>
    <row r="101" spans="7:11" x14ac:dyDescent="0.3">
      <c r="G101" s="112">
        <f t="shared" si="6"/>
        <v>94</v>
      </c>
      <c r="H101" s="113">
        <f t="shared" si="7"/>
        <v>-394.68890567918316</v>
      </c>
      <c r="I101" s="114">
        <f t="shared" si="8"/>
        <v>-180.49742549244624</v>
      </c>
      <c r="J101" s="115">
        <f t="shared" si="5"/>
        <v>-214.19148018673692</v>
      </c>
      <c r="K101" s="115">
        <f t="shared" si="9"/>
        <v>43105.190638000357</v>
      </c>
    </row>
    <row r="102" spans="7:11" x14ac:dyDescent="0.3">
      <c r="G102" s="112">
        <f t="shared" si="6"/>
        <v>95</v>
      </c>
      <c r="H102" s="113">
        <f t="shared" si="7"/>
        <v>-394.68890567918316</v>
      </c>
      <c r="I102" s="114">
        <f t="shared" si="8"/>
        <v>-179.60496099166815</v>
      </c>
      <c r="J102" s="115">
        <f t="shared" si="5"/>
        <v>-215.08394468751501</v>
      </c>
      <c r="K102" s="115">
        <f t="shared" si="9"/>
        <v>42890.106693312839</v>
      </c>
    </row>
    <row r="103" spans="7:11" x14ac:dyDescent="0.3">
      <c r="G103" s="112">
        <f t="shared" si="6"/>
        <v>96</v>
      </c>
      <c r="H103" s="113">
        <f t="shared" si="7"/>
        <v>-394.68890567918316</v>
      </c>
      <c r="I103" s="114">
        <f t="shared" si="8"/>
        <v>-178.7087778888035</v>
      </c>
      <c r="J103" s="115">
        <f t="shared" si="5"/>
        <v>-215.98012779037967</v>
      </c>
      <c r="K103" s="115">
        <f t="shared" si="9"/>
        <v>42674.126565522456</v>
      </c>
    </row>
    <row r="104" spans="7:11" x14ac:dyDescent="0.3">
      <c r="G104" s="112">
        <f t="shared" si="6"/>
        <v>97</v>
      </c>
      <c r="H104" s="113">
        <f t="shared" si="7"/>
        <v>-394.68890567918316</v>
      </c>
      <c r="I104" s="114">
        <f t="shared" si="8"/>
        <v>-177.80886068967689</v>
      </c>
      <c r="J104" s="115">
        <f t="shared" si="5"/>
        <v>-216.88004498950627</v>
      </c>
      <c r="K104" s="115">
        <f t="shared" si="9"/>
        <v>42457.24652053295</v>
      </c>
    </row>
    <row r="105" spans="7:11" x14ac:dyDescent="0.3">
      <c r="G105" s="112">
        <f t="shared" si="6"/>
        <v>98</v>
      </c>
      <c r="H105" s="113">
        <f t="shared" si="7"/>
        <v>-394.68890567918316</v>
      </c>
      <c r="I105" s="114">
        <f t="shared" si="8"/>
        <v>-176.90519383555394</v>
      </c>
      <c r="J105" s="115">
        <f t="shared" si="5"/>
        <v>-217.78371184362922</v>
      </c>
      <c r="K105" s="115">
        <f t="shared" si="9"/>
        <v>42239.462808689321</v>
      </c>
    </row>
    <row r="106" spans="7:11" x14ac:dyDescent="0.3">
      <c r="G106" s="112">
        <f t="shared" si="6"/>
        <v>99</v>
      </c>
      <c r="H106" s="113">
        <f t="shared" si="7"/>
        <v>-394.68890567918316</v>
      </c>
      <c r="I106" s="114">
        <f t="shared" si="8"/>
        <v>-175.99776170287217</v>
      </c>
      <c r="J106" s="115">
        <f t="shared" si="5"/>
        <v>-218.691143976311</v>
      </c>
      <c r="K106" s="115">
        <f t="shared" si="9"/>
        <v>42020.771664713007</v>
      </c>
    </row>
    <row r="107" spans="7:11" x14ac:dyDescent="0.3">
      <c r="G107" s="112">
        <f t="shared" si="6"/>
        <v>100</v>
      </c>
      <c r="H107" s="113">
        <f t="shared" si="7"/>
        <v>-394.68890567918316</v>
      </c>
      <c r="I107" s="114">
        <f t="shared" si="8"/>
        <v>-175.08654860297085</v>
      </c>
      <c r="J107" s="115">
        <f t="shared" si="5"/>
        <v>-219.60235707621231</v>
      </c>
      <c r="K107" s="115">
        <f t="shared" si="9"/>
        <v>41801.169307636796</v>
      </c>
    </row>
    <row r="108" spans="7:11" x14ac:dyDescent="0.3">
      <c r="G108" s="112">
        <f t="shared" si="6"/>
        <v>101</v>
      </c>
      <c r="H108" s="113">
        <f t="shared" si="7"/>
        <v>-394.68890567918316</v>
      </c>
      <c r="I108" s="114">
        <f t="shared" si="8"/>
        <v>-174.17153878181998</v>
      </c>
      <c r="J108" s="115">
        <f t="shared" si="5"/>
        <v>-220.51736689736319</v>
      </c>
      <c r="K108" s="115">
        <f t="shared" si="9"/>
        <v>41580.65194073943</v>
      </c>
    </row>
    <row r="109" spans="7:11" x14ac:dyDescent="0.3">
      <c r="G109" s="112">
        <f t="shared" si="6"/>
        <v>102</v>
      </c>
      <c r="H109" s="113">
        <f t="shared" si="7"/>
        <v>-394.68890567918316</v>
      </c>
      <c r="I109" s="114">
        <f t="shared" si="8"/>
        <v>-173.25271641974763</v>
      </c>
      <c r="J109" s="115">
        <f t="shared" si="5"/>
        <v>-221.43618925943554</v>
      </c>
      <c r="K109" s="115">
        <f t="shared" si="9"/>
        <v>41359.215751479991</v>
      </c>
    </row>
    <row r="110" spans="7:11" x14ac:dyDescent="0.3">
      <c r="G110" s="112">
        <f t="shared" si="6"/>
        <v>103</v>
      </c>
      <c r="H110" s="113">
        <f t="shared" si="7"/>
        <v>-394.68890567918316</v>
      </c>
      <c r="I110" s="114">
        <f t="shared" si="8"/>
        <v>-172.33006563116663</v>
      </c>
      <c r="J110" s="115">
        <f t="shared" si="5"/>
        <v>-222.35884004801653</v>
      </c>
      <c r="K110" s="115">
        <f t="shared" si="9"/>
        <v>41136.856911431976</v>
      </c>
    </row>
    <row r="111" spans="7:11" x14ac:dyDescent="0.3">
      <c r="G111" s="112">
        <f t="shared" si="6"/>
        <v>104</v>
      </c>
      <c r="H111" s="113">
        <f t="shared" si="7"/>
        <v>-394.68890567918316</v>
      </c>
      <c r="I111" s="114">
        <f t="shared" si="8"/>
        <v>-171.40357046429989</v>
      </c>
      <c r="J111" s="115">
        <f t="shared" si="5"/>
        <v>-223.28533521488328</v>
      </c>
      <c r="K111" s="115">
        <f t="shared" si="9"/>
        <v>40913.571576217095</v>
      </c>
    </row>
    <row r="112" spans="7:11" x14ac:dyDescent="0.3">
      <c r="G112" s="112">
        <f t="shared" si="6"/>
        <v>105</v>
      </c>
      <c r="H112" s="113">
        <f t="shared" si="7"/>
        <v>-394.68890567918316</v>
      </c>
      <c r="I112" s="114">
        <f t="shared" si="8"/>
        <v>-170.47321490090457</v>
      </c>
      <c r="J112" s="115">
        <f t="shared" si="5"/>
        <v>-224.2156907782786</v>
      </c>
      <c r="K112" s="115">
        <f t="shared" si="9"/>
        <v>40689.355885438817</v>
      </c>
    </row>
    <row r="113" spans="5:11" x14ac:dyDescent="0.3">
      <c r="G113" s="112">
        <f t="shared" si="6"/>
        <v>106</v>
      </c>
      <c r="H113" s="113">
        <f t="shared" si="7"/>
        <v>-394.68890567918316</v>
      </c>
      <c r="I113" s="114">
        <f t="shared" si="8"/>
        <v>-169.53898285599507</v>
      </c>
      <c r="J113" s="115">
        <f t="shared" si="5"/>
        <v>-225.14992282318809</v>
      </c>
      <c r="K113" s="115">
        <f t="shared" si="9"/>
        <v>40464.205962615626</v>
      </c>
    </row>
    <row r="114" spans="5:11" x14ac:dyDescent="0.3">
      <c r="G114" s="112">
        <f t="shared" si="6"/>
        <v>107</v>
      </c>
      <c r="H114" s="113">
        <f t="shared" si="7"/>
        <v>-394.68890567918316</v>
      </c>
      <c r="I114" s="114">
        <f t="shared" si="8"/>
        <v>-168.6008581775651</v>
      </c>
      <c r="J114" s="115">
        <f t="shared" si="5"/>
        <v>-226.08804750161806</v>
      </c>
      <c r="K114" s="115">
        <f t="shared" si="9"/>
        <v>40238.11791511401</v>
      </c>
    </row>
    <row r="115" spans="5:11" x14ac:dyDescent="0.3">
      <c r="G115" s="112">
        <f t="shared" si="6"/>
        <v>108</v>
      </c>
      <c r="H115" s="113">
        <f t="shared" si="7"/>
        <v>-394.68890567918316</v>
      </c>
      <c r="I115" s="114">
        <f t="shared" si="8"/>
        <v>-167.65882464630837</v>
      </c>
      <c r="J115" s="115">
        <f t="shared" si="5"/>
        <v>-227.03008103287479</v>
      </c>
      <c r="K115" s="115">
        <f t="shared" si="9"/>
        <v>40011.087834081132</v>
      </c>
    </row>
    <row r="116" spans="5:11" x14ac:dyDescent="0.3">
      <c r="G116" s="112">
        <f t="shared" si="6"/>
        <v>109</v>
      </c>
      <c r="H116" s="113">
        <f t="shared" si="7"/>
        <v>-394.68890567918316</v>
      </c>
      <c r="I116" s="114">
        <f t="shared" si="8"/>
        <v>-166.71286597533805</v>
      </c>
      <c r="J116" s="115">
        <f t="shared" si="5"/>
        <v>-227.97603970384512</v>
      </c>
      <c r="K116" s="115">
        <f t="shared" si="9"/>
        <v>39783.111794377284</v>
      </c>
    </row>
    <row r="117" spans="5:11" x14ac:dyDescent="0.3">
      <c r="G117" s="112">
        <f t="shared" si="6"/>
        <v>110</v>
      </c>
      <c r="H117" s="113">
        <f t="shared" si="7"/>
        <v>-394.68890567918316</v>
      </c>
      <c r="I117" s="114">
        <f t="shared" si="8"/>
        <v>-165.76296580990535</v>
      </c>
      <c r="J117" s="115">
        <f t="shared" si="5"/>
        <v>-228.92593986927781</v>
      </c>
      <c r="K117" s="115">
        <f t="shared" si="9"/>
        <v>39554.185854508003</v>
      </c>
    </row>
    <row r="118" spans="5:11" x14ac:dyDescent="0.3">
      <c r="G118" s="112">
        <f t="shared" si="6"/>
        <v>111</v>
      </c>
      <c r="H118" s="113">
        <f t="shared" si="7"/>
        <v>-394.68890567918316</v>
      </c>
      <c r="I118" s="114">
        <f t="shared" si="8"/>
        <v>-164.80910772711667</v>
      </c>
      <c r="J118" s="115">
        <f t="shared" si="5"/>
        <v>-229.8797979520665</v>
      </c>
      <c r="K118" s="115">
        <f t="shared" si="9"/>
        <v>39324.306056555935</v>
      </c>
    </row>
    <row r="119" spans="5:11" x14ac:dyDescent="0.3">
      <c r="G119" s="112">
        <f t="shared" si="6"/>
        <v>112</v>
      </c>
      <c r="H119" s="113">
        <f t="shared" si="7"/>
        <v>-394.68890567918316</v>
      </c>
      <c r="I119" s="114">
        <f t="shared" si="8"/>
        <v>-163.85127523564972</v>
      </c>
      <c r="J119" s="115">
        <f t="shared" si="5"/>
        <v>-230.83763044353344</v>
      </c>
      <c r="K119" s="115">
        <f t="shared" si="9"/>
        <v>39093.468426112398</v>
      </c>
    </row>
    <row r="120" spans="5:11" x14ac:dyDescent="0.3">
      <c r="G120" s="112">
        <f t="shared" si="6"/>
        <v>113</v>
      </c>
      <c r="H120" s="113">
        <f t="shared" si="7"/>
        <v>-394.68890567918316</v>
      </c>
      <c r="I120" s="114">
        <f t="shared" si="8"/>
        <v>-162.88945177546833</v>
      </c>
      <c r="J120" s="115">
        <f t="shared" si="5"/>
        <v>-231.79945390371483</v>
      </c>
      <c r="K120" s="115">
        <f t="shared" si="9"/>
        <v>38861.668972208681</v>
      </c>
    </row>
    <row r="121" spans="5:11" x14ac:dyDescent="0.3">
      <c r="G121" s="112">
        <f t="shared" si="6"/>
        <v>114</v>
      </c>
      <c r="H121" s="113">
        <f t="shared" si="7"/>
        <v>-394.68890567918316</v>
      </c>
      <c r="I121" s="114">
        <f t="shared" si="8"/>
        <v>-161.92362071753618</v>
      </c>
      <c r="J121" s="115">
        <f t="shared" si="5"/>
        <v>-232.76528496164698</v>
      </c>
      <c r="K121" s="115">
        <f t="shared" si="9"/>
        <v>38628.903687247031</v>
      </c>
    </row>
    <row r="122" spans="5:11" x14ac:dyDescent="0.3">
      <c r="G122" s="112">
        <f t="shared" si="6"/>
        <v>115</v>
      </c>
      <c r="H122" s="113">
        <f t="shared" si="7"/>
        <v>-394.68890567918316</v>
      </c>
      <c r="I122" s="114">
        <f t="shared" si="8"/>
        <v>-160.9537653635293</v>
      </c>
      <c r="J122" s="115">
        <f t="shared" si="5"/>
        <v>-233.73514031565387</v>
      </c>
      <c r="K122" s="115">
        <f t="shared" si="9"/>
        <v>38395.168546931374</v>
      </c>
    </row>
    <row r="123" spans="5:11" x14ac:dyDescent="0.3">
      <c r="G123" s="112">
        <f t="shared" si="6"/>
        <v>116</v>
      </c>
      <c r="H123" s="113">
        <f t="shared" si="7"/>
        <v>-394.68890567918316</v>
      </c>
      <c r="I123" s="114">
        <f t="shared" si="8"/>
        <v>-159.97986894554739</v>
      </c>
      <c r="J123" s="115">
        <f t="shared" si="5"/>
        <v>-234.70903673363577</v>
      </c>
      <c r="K123" s="115">
        <f t="shared" si="9"/>
        <v>38160.459510197739</v>
      </c>
    </row>
    <row r="124" spans="5:11" x14ac:dyDescent="0.3">
      <c r="G124" s="112">
        <f t="shared" si="6"/>
        <v>117</v>
      </c>
      <c r="H124" s="113">
        <f t="shared" si="7"/>
        <v>-394.68890567918316</v>
      </c>
      <c r="I124" s="114">
        <f t="shared" si="8"/>
        <v>-159.0019146258239</v>
      </c>
      <c r="J124" s="115">
        <f t="shared" si="5"/>
        <v>-235.68699105335926</v>
      </c>
      <c r="K124" s="115">
        <f t="shared" si="9"/>
        <v>37924.772519144382</v>
      </c>
    </row>
    <row r="125" spans="5:11" x14ac:dyDescent="0.3">
      <c r="G125" s="112">
        <f t="shared" si="6"/>
        <v>118</v>
      </c>
      <c r="H125" s="113">
        <f t="shared" si="7"/>
        <v>-394.68890567918316</v>
      </c>
      <c r="I125" s="114">
        <f t="shared" si="8"/>
        <v>-158.01988549643494</v>
      </c>
      <c r="J125" s="115">
        <f t="shared" si="5"/>
        <v>-236.66902018274823</v>
      </c>
      <c r="K125" s="115">
        <f t="shared" si="9"/>
        <v>37688.103498961631</v>
      </c>
    </row>
    <row r="126" spans="5:11" x14ac:dyDescent="0.3">
      <c r="G126" s="112">
        <f t="shared" si="6"/>
        <v>119</v>
      </c>
      <c r="H126" s="113">
        <f t="shared" si="7"/>
        <v>-394.68890567918316</v>
      </c>
      <c r="I126" s="114">
        <f t="shared" si="8"/>
        <v>-157.0337645790068</v>
      </c>
      <c r="J126" s="115">
        <f t="shared" si="5"/>
        <v>-237.65514110017637</v>
      </c>
      <c r="K126" s="115">
        <f t="shared" si="9"/>
        <v>37450.448357861453</v>
      </c>
    </row>
    <row r="127" spans="5:11" x14ac:dyDescent="0.3">
      <c r="E127" t="s">
        <v>123</v>
      </c>
      <c r="G127" s="112">
        <f t="shared" si="6"/>
        <v>120</v>
      </c>
      <c r="H127" s="113">
        <f t="shared" si="7"/>
        <v>-394.68890567918316</v>
      </c>
      <c r="I127" s="114">
        <f t="shared" si="8"/>
        <v>-156.04353482442272</v>
      </c>
      <c r="J127" s="115">
        <f t="shared" si="5"/>
        <v>-238.64537085476044</v>
      </c>
      <c r="K127" s="115">
        <f t="shared" si="9"/>
        <v>37211.802987006689</v>
      </c>
    </row>
    <row r="128" spans="5:11" x14ac:dyDescent="0.3">
      <c r="G128" s="153">
        <f t="shared" si="6"/>
        <v>121</v>
      </c>
      <c r="H128" s="113">
        <f t="shared" si="7"/>
        <v>-394.68890567918316</v>
      </c>
      <c r="I128" s="114">
        <f t="shared" si="8"/>
        <v>-155.04917911252787</v>
      </c>
      <c r="J128" s="115">
        <f t="shared" si="5"/>
        <v>-239.6397265666553</v>
      </c>
      <c r="K128" s="115">
        <f t="shared" si="9"/>
        <v>36972.163260440037</v>
      </c>
    </row>
    <row r="129" spans="7:11" x14ac:dyDescent="0.3">
      <c r="G129" s="153">
        <f t="shared" si="6"/>
        <v>122</v>
      </c>
      <c r="H129" s="113">
        <f t="shared" si="7"/>
        <v>-394.68890567918316</v>
      </c>
      <c r="I129" s="114">
        <f t="shared" si="8"/>
        <v>-154.05068025183348</v>
      </c>
      <c r="J129" s="115">
        <f t="shared" si="5"/>
        <v>-240.63822542734968</v>
      </c>
      <c r="K129" s="115">
        <f t="shared" si="9"/>
        <v>36731.525035012688</v>
      </c>
    </row>
    <row r="130" spans="7:11" x14ac:dyDescent="0.3">
      <c r="G130" s="153">
        <f t="shared" si="6"/>
        <v>123</v>
      </c>
      <c r="H130" s="113">
        <f t="shared" si="7"/>
        <v>-394.68890567918316</v>
      </c>
      <c r="I130" s="114">
        <f t="shared" si="8"/>
        <v>-153.04802097921953</v>
      </c>
      <c r="J130" s="115">
        <f t="shared" si="5"/>
        <v>-241.64088469996364</v>
      </c>
      <c r="K130" s="115">
        <f t="shared" si="9"/>
        <v>36489.884150312726</v>
      </c>
    </row>
    <row r="131" spans="7:11" x14ac:dyDescent="0.3">
      <c r="G131" s="153">
        <f t="shared" si="6"/>
        <v>124</v>
      </c>
      <c r="H131" s="113">
        <f t="shared" si="7"/>
        <v>-394.68890567918316</v>
      </c>
      <c r="I131" s="114">
        <f t="shared" si="8"/>
        <v>-152.04118395963636</v>
      </c>
      <c r="J131" s="115">
        <f t="shared" si="5"/>
        <v>-242.64772171954681</v>
      </c>
      <c r="K131" s="115">
        <f t="shared" si="9"/>
        <v>36247.236428593176</v>
      </c>
    </row>
    <row r="132" spans="7:11" x14ac:dyDescent="0.3">
      <c r="G132" s="153">
        <f t="shared" si="6"/>
        <v>125</v>
      </c>
      <c r="H132" s="113">
        <f t="shared" si="7"/>
        <v>-394.68890567918316</v>
      </c>
      <c r="I132" s="114">
        <f t="shared" si="8"/>
        <v>-151.03015178580489</v>
      </c>
      <c r="J132" s="115">
        <f t="shared" si="5"/>
        <v>-243.65875389337828</v>
      </c>
      <c r="K132" s="115">
        <f t="shared" si="9"/>
        <v>36003.577674699794</v>
      </c>
    </row>
    <row r="133" spans="7:11" x14ac:dyDescent="0.3">
      <c r="G133" s="153">
        <f t="shared" si="6"/>
        <v>126</v>
      </c>
      <c r="H133" s="113">
        <f t="shared" si="7"/>
        <v>-394.68890567918316</v>
      </c>
      <c r="I133" s="114">
        <f t="shared" si="8"/>
        <v>-150.01490697791581</v>
      </c>
      <c r="J133" s="115">
        <f t="shared" si="5"/>
        <v>-244.67399870126735</v>
      </c>
      <c r="K133" s="115">
        <f t="shared" si="9"/>
        <v>35758.903675998525</v>
      </c>
    </row>
    <row r="134" spans="7:11" x14ac:dyDescent="0.3">
      <c r="G134" s="153">
        <f t="shared" si="6"/>
        <v>127</v>
      </c>
      <c r="H134" s="113">
        <f t="shared" si="7"/>
        <v>-394.68890567918316</v>
      </c>
      <c r="I134" s="114">
        <f t="shared" si="8"/>
        <v>-148.99543198332719</v>
      </c>
      <c r="J134" s="115">
        <f t="shared" si="5"/>
        <v>-245.69347369585597</v>
      </c>
      <c r="K134" s="115">
        <f t="shared" si="9"/>
        <v>35513.210202302667</v>
      </c>
    </row>
    <row r="135" spans="7:11" x14ac:dyDescent="0.3">
      <c r="G135" s="153">
        <f t="shared" si="6"/>
        <v>128</v>
      </c>
      <c r="H135" s="113">
        <f t="shared" si="7"/>
        <v>-394.68890567918316</v>
      </c>
      <c r="I135" s="114">
        <f t="shared" si="8"/>
        <v>-147.9717091762611</v>
      </c>
      <c r="J135" s="115">
        <f t="shared" si="5"/>
        <v>-246.71719650292206</v>
      </c>
      <c r="K135" s="115">
        <f t="shared" si="9"/>
        <v>35266.493005799748</v>
      </c>
    </row>
    <row r="136" spans="7:11" x14ac:dyDescent="0.3">
      <c r="G136" s="153">
        <f t="shared" si="6"/>
        <v>129</v>
      </c>
      <c r="H136" s="113">
        <f t="shared" si="7"/>
        <v>-394.68890567918316</v>
      </c>
      <c r="I136" s="114">
        <f t="shared" si="8"/>
        <v>-146.94372085749896</v>
      </c>
      <c r="J136" s="115">
        <f t="shared" ref="J136:J199" si="10">H136-I136</f>
        <v>-247.74518482168421</v>
      </c>
      <c r="K136" s="115">
        <f t="shared" si="9"/>
        <v>35018.747820978067</v>
      </c>
    </row>
    <row r="137" spans="7:11" x14ac:dyDescent="0.3">
      <c r="G137" s="153">
        <f t="shared" ref="G137:G200" si="11">G136+1</f>
        <v>130</v>
      </c>
      <c r="H137" s="113">
        <f t="shared" ref="H137:H200" si="12">PMT($D$5/12,$D$7,$D$4)</f>
        <v>-394.68890567918316</v>
      </c>
      <c r="I137" s="114">
        <f t="shared" ref="I137:I200" si="13">-K136*$D$6</f>
        <v>-145.91144925407528</v>
      </c>
      <c r="J137" s="115">
        <f t="shared" si="10"/>
        <v>-248.77745642510789</v>
      </c>
      <c r="K137" s="115">
        <f t="shared" ref="K137:K200" si="14">K136+J137</f>
        <v>34769.970364552959</v>
      </c>
    </row>
    <row r="138" spans="7:11" x14ac:dyDescent="0.3">
      <c r="G138" s="153">
        <f t="shared" si="11"/>
        <v>131</v>
      </c>
      <c r="H138" s="113">
        <f t="shared" si="12"/>
        <v>-394.68890567918316</v>
      </c>
      <c r="I138" s="114">
        <f t="shared" si="13"/>
        <v>-144.87487651897067</v>
      </c>
      <c r="J138" s="115">
        <f t="shared" si="10"/>
        <v>-249.8140291602125</v>
      </c>
      <c r="K138" s="115">
        <f t="shared" si="14"/>
        <v>34520.156335392749</v>
      </c>
    </row>
    <row r="139" spans="7:11" x14ac:dyDescent="0.3">
      <c r="G139" s="153">
        <f t="shared" si="11"/>
        <v>132</v>
      </c>
      <c r="H139" s="113">
        <f t="shared" si="12"/>
        <v>-394.68890567918316</v>
      </c>
      <c r="I139" s="114">
        <f t="shared" si="13"/>
        <v>-143.83398473080311</v>
      </c>
      <c r="J139" s="115">
        <f t="shared" si="10"/>
        <v>-250.85492094838006</v>
      </c>
      <c r="K139" s="115">
        <f t="shared" si="14"/>
        <v>34269.301414444366</v>
      </c>
    </row>
    <row r="140" spans="7:11" x14ac:dyDescent="0.3">
      <c r="G140" s="153">
        <f t="shared" si="11"/>
        <v>133</v>
      </c>
      <c r="H140" s="113">
        <f t="shared" si="12"/>
        <v>-394.68890567918316</v>
      </c>
      <c r="I140" s="114">
        <f t="shared" si="13"/>
        <v>-142.78875589351819</v>
      </c>
      <c r="J140" s="115">
        <f t="shared" si="10"/>
        <v>-251.90014978566498</v>
      </c>
      <c r="K140" s="115">
        <f t="shared" si="14"/>
        <v>34017.4012646587</v>
      </c>
    </row>
    <row r="141" spans="7:11" x14ac:dyDescent="0.3">
      <c r="G141" s="153">
        <f t="shared" si="11"/>
        <v>134</v>
      </c>
      <c r="H141" s="113">
        <f t="shared" si="12"/>
        <v>-394.68890567918316</v>
      </c>
      <c r="I141" s="114">
        <f t="shared" si="13"/>
        <v>-141.73917193607792</v>
      </c>
      <c r="J141" s="115">
        <f t="shared" si="10"/>
        <v>-252.94973374310524</v>
      </c>
      <c r="K141" s="115">
        <f t="shared" si="14"/>
        <v>33764.451530915598</v>
      </c>
    </row>
    <row r="142" spans="7:11" x14ac:dyDescent="0.3">
      <c r="G142" s="153">
        <f t="shared" si="11"/>
        <v>135</v>
      </c>
      <c r="H142" s="113">
        <f t="shared" si="12"/>
        <v>-394.68890567918316</v>
      </c>
      <c r="I142" s="114">
        <f t="shared" si="13"/>
        <v>-140.68521471214831</v>
      </c>
      <c r="J142" s="115">
        <f t="shared" si="10"/>
        <v>-254.00369096703486</v>
      </c>
      <c r="K142" s="115">
        <f t="shared" si="14"/>
        <v>33510.44783994856</v>
      </c>
    </row>
    <row r="143" spans="7:11" x14ac:dyDescent="0.3">
      <c r="G143" s="153">
        <f t="shared" si="11"/>
        <v>136</v>
      </c>
      <c r="H143" s="113">
        <f t="shared" si="12"/>
        <v>-394.68890567918316</v>
      </c>
      <c r="I143" s="114">
        <f t="shared" si="13"/>
        <v>-139.62686599978565</v>
      </c>
      <c r="J143" s="115">
        <f t="shared" si="10"/>
        <v>-255.06203967939751</v>
      </c>
      <c r="K143" s="115">
        <f t="shared" si="14"/>
        <v>33255.385800269163</v>
      </c>
    </row>
    <row r="144" spans="7:11" x14ac:dyDescent="0.3">
      <c r="G144" s="153">
        <f t="shared" si="11"/>
        <v>137</v>
      </c>
      <c r="H144" s="113">
        <f t="shared" si="12"/>
        <v>-394.68890567918316</v>
      </c>
      <c r="I144" s="114">
        <f t="shared" si="13"/>
        <v>-138.5641075011215</v>
      </c>
      <c r="J144" s="115">
        <f t="shared" si="10"/>
        <v>-256.12479817806167</v>
      </c>
      <c r="K144" s="115">
        <f t="shared" si="14"/>
        <v>32999.261002091102</v>
      </c>
    </row>
    <row r="145" spans="7:11" x14ac:dyDescent="0.3">
      <c r="G145" s="153">
        <f t="shared" si="11"/>
        <v>138</v>
      </c>
      <c r="H145" s="113">
        <f t="shared" si="12"/>
        <v>-394.68890567918316</v>
      </c>
      <c r="I145" s="114">
        <f t="shared" si="13"/>
        <v>-137.49692084204625</v>
      </c>
      <c r="J145" s="115">
        <f t="shared" si="10"/>
        <v>-257.19198483713694</v>
      </c>
      <c r="K145" s="115">
        <f t="shared" si="14"/>
        <v>32742.069017253965</v>
      </c>
    </row>
    <row r="146" spans="7:11" x14ac:dyDescent="0.3">
      <c r="G146" s="153">
        <f t="shared" si="11"/>
        <v>139</v>
      </c>
      <c r="H146" s="113">
        <f t="shared" si="12"/>
        <v>-394.68890567918316</v>
      </c>
      <c r="I146" s="114">
        <f t="shared" si="13"/>
        <v>-136.42528757189152</v>
      </c>
      <c r="J146" s="115">
        <f t="shared" si="10"/>
        <v>-258.26361810729168</v>
      </c>
      <c r="K146" s="115">
        <f t="shared" si="14"/>
        <v>32483.805399146673</v>
      </c>
    </row>
    <row r="147" spans="7:11" x14ac:dyDescent="0.3">
      <c r="G147" s="153">
        <f t="shared" si="11"/>
        <v>140</v>
      </c>
      <c r="H147" s="113">
        <f t="shared" si="12"/>
        <v>-394.68890567918316</v>
      </c>
      <c r="I147" s="114">
        <f t="shared" si="13"/>
        <v>-135.34918916311113</v>
      </c>
      <c r="J147" s="115">
        <f t="shared" si="10"/>
        <v>-259.33971651607203</v>
      </c>
      <c r="K147" s="115">
        <f t="shared" si="14"/>
        <v>32224.465682630602</v>
      </c>
    </row>
    <row r="148" spans="7:11" x14ac:dyDescent="0.3">
      <c r="G148" s="153">
        <f t="shared" si="11"/>
        <v>141</v>
      </c>
      <c r="H148" s="113">
        <f t="shared" si="12"/>
        <v>-394.68890567918316</v>
      </c>
      <c r="I148" s="114">
        <f t="shared" si="13"/>
        <v>-134.26860701096084</v>
      </c>
      <c r="J148" s="115">
        <f t="shared" si="10"/>
        <v>-260.42029866822236</v>
      </c>
      <c r="K148" s="115">
        <f t="shared" si="14"/>
        <v>31964.045383962381</v>
      </c>
    </row>
    <row r="149" spans="7:11" x14ac:dyDescent="0.3">
      <c r="G149" s="153">
        <f t="shared" si="11"/>
        <v>142</v>
      </c>
      <c r="H149" s="113">
        <f t="shared" si="12"/>
        <v>-394.68890567918316</v>
      </c>
      <c r="I149" s="114">
        <f t="shared" si="13"/>
        <v>-133.18352243317659</v>
      </c>
      <c r="J149" s="115">
        <f t="shared" si="10"/>
        <v>-261.50538324600655</v>
      </c>
      <c r="K149" s="115">
        <f t="shared" si="14"/>
        <v>31702.540000716373</v>
      </c>
    </row>
    <row r="150" spans="7:11" x14ac:dyDescent="0.3">
      <c r="G150" s="153">
        <f t="shared" si="11"/>
        <v>143</v>
      </c>
      <c r="H150" s="113">
        <f t="shared" si="12"/>
        <v>-394.68890567918316</v>
      </c>
      <c r="I150" s="114">
        <f t="shared" si="13"/>
        <v>-132.09391666965155</v>
      </c>
      <c r="J150" s="115">
        <f t="shared" si="10"/>
        <v>-262.59498900953162</v>
      </c>
      <c r="K150" s="115">
        <f t="shared" si="14"/>
        <v>31439.945011706841</v>
      </c>
    </row>
    <row r="151" spans="7:11" x14ac:dyDescent="0.3">
      <c r="G151" s="153">
        <f t="shared" si="11"/>
        <v>144</v>
      </c>
      <c r="H151" s="113">
        <f t="shared" si="12"/>
        <v>-394.68890567918316</v>
      </c>
      <c r="I151" s="114">
        <f t="shared" si="13"/>
        <v>-130.99977088211185</v>
      </c>
      <c r="J151" s="115">
        <f t="shared" si="10"/>
        <v>-263.68913479707135</v>
      </c>
      <c r="K151" s="115">
        <f t="shared" si="14"/>
        <v>31176.25587690977</v>
      </c>
    </row>
    <row r="152" spans="7:11" x14ac:dyDescent="0.3">
      <c r="G152" s="153">
        <f t="shared" si="11"/>
        <v>145</v>
      </c>
      <c r="H152" s="113">
        <f t="shared" si="12"/>
        <v>-394.68890567918316</v>
      </c>
      <c r="I152" s="114">
        <f t="shared" si="13"/>
        <v>-129.90106615379071</v>
      </c>
      <c r="J152" s="115">
        <f t="shared" si="10"/>
        <v>-264.78783952539243</v>
      </c>
      <c r="K152" s="115">
        <f t="shared" si="14"/>
        <v>30911.468037384377</v>
      </c>
    </row>
    <row r="153" spans="7:11" x14ac:dyDescent="0.3">
      <c r="G153" s="153">
        <f t="shared" si="11"/>
        <v>146</v>
      </c>
      <c r="H153" s="113">
        <f t="shared" si="12"/>
        <v>-394.68890567918316</v>
      </c>
      <c r="I153" s="114">
        <f t="shared" si="13"/>
        <v>-128.79778348910156</v>
      </c>
      <c r="J153" s="115">
        <f t="shared" si="10"/>
        <v>-265.8911221900816</v>
      </c>
      <c r="K153" s="115">
        <f t="shared" si="14"/>
        <v>30645.576915194295</v>
      </c>
    </row>
    <row r="154" spans="7:11" x14ac:dyDescent="0.3">
      <c r="G154" s="153">
        <f t="shared" si="11"/>
        <v>147</v>
      </c>
      <c r="H154" s="113">
        <f t="shared" si="12"/>
        <v>-394.68890567918316</v>
      </c>
      <c r="I154" s="114">
        <f t="shared" si="13"/>
        <v>-127.68990381330956</v>
      </c>
      <c r="J154" s="115">
        <f t="shared" si="10"/>
        <v>-266.99900186587359</v>
      </c>
      <c r="K154" s="115">
        <f t="shared" si="14"/>
        <v>30378.577913328423</v>
      </c>
    </row>
    <row r="155" spans="7:11" x14ac:dyDescent="0.3">
      <c r="G155" s="153">
        <f t="shared" si="11"/>
        <v>148</v>
      </c>
      <c r="H155" s="113">
        <f t="shared" si="12"/>
        <v>-394.68890567918316</v>
      </c>
      <c r="I155" s="114">
        <f t="shared" si="13"/>
        <v>-126.57740797220175</v>
      </c>
      <c r="J155" s="115">
        <f t="shared" si="10"/>
        <v>-268.11149770698142</v>
      </c>
      <c r="K155" s="115">
        <f t="shared" si="14"/>
        <v>30110.466415621442</v>
      </c>
    </row>
    <row r="156" spans="7:11" x14ac:dyDescent="0.3">
      <c r="G156" s="153">
        <f t="shared" si="11"/>
        <v>149</v>
      </c>
      <c r="H156" s="113">
        <f t="shared" si="12"/>
        <v>-394.68890567918316</v>
      </c>
      <c r="I156" s="114">
        <f t="shared" si="13"/>
        <v>-125.46027673175601</v>
      </c>
      <c r="J156" s="115">
        <f t="shared" si="10"/>
        <v>-269.22862894742718</v>
      </c>
      <c r="K156" s="115">
        <f t="shared" si="14"/>
        <v>29841.237786674013</v>
      </c>
    </row>
    <row r="157" spans="7:11" x14ac:dyDescent="0.3">
      <c r="G157" s="153">
        <f t="shared" si="11"/>
        <v>150</v>
      </c>
      <c r="H157" s="113">
        <f t="shared" si="12"/>
        <v>-394.68890567918316</v>
      </c>
      <c r="I157" s="114">
        <f t="shared" si="13"/>
        <v>-124.33849077780839</v>
      </c>
      <c r="J157" s="115">
        <f t="shared" si="10"/>
        <v>-270.35041490137479</v>
      </c>
      <c r="K157" s="115">
        <f t="shared" si="14"/>
        <v>29570.887371772638</v>
      </c>
    </row>
    <row r="158" spans="7:11" x14ac:dyDescent="0.3">
      <c r="G158" s="153">
        <f t="shared" si="11"/>
        <v>151</v>
      </c>
      <c r="H158" s="113">
        <f t="shared" si="12"/>
        <v>-394.68890567918316</v>
      </c>
      <c r="I158" s="114">
        <f t="shared" si="13"/>
        <v>-123.21203071571932</v>
      </c>
      <c r="J158" s="115">
        <f t="shared" si="10"/>
        <v>-271.47687496346384</v>
      </c>
      <c r="K158" s="115">
        <f t="shared" si="14"/>
        <v>29299.410496809174</v>
      </c>
    </row>
    <row r="159" spans="7:11" x14ac:dyDescent="0.3">
      <c r="G159" s="153">
        <f t="shared" si="11"/>
        <v>152</v>
      </c>
      <c r="H159" s="113">
        <f t="shared" si="12"/>
        <v>-394.68890567918316</v>
      </c>
      <c r="I159" s="114">
        <f t="shared" si="13"/>
        <v>-122.08087707003823</v>
      </c>
      <c r="J159" s="115">
        <f t="shared" si="10"/>
        <v>-272.60802860914492</v>
      </c>
      <c r="K159" s="115">
        <f t="shared" si="14"/>
        <v>29026.802468200029</v>
      </c>
    </row>
    <row r="160" spans="7:11" x14ac:dyDescent="0.3">
      <c r="G160" s="153">
        <f t="shared" si="11"/>
        <v>153</v>
      </c>
      <c r="H160" s="113">
        <f t="shared" si="12"/>
        <v>-394.68890567918316</v>
      </c>
      <c r="I160" s="114">
        <f t="shared" si="13"/>
        <v>-120.94501028416678</v>
      </c>
      <c r="J160" s="115">
        <f t="shared" si="10"/>
        <v>-273.74389539501635</v>
      </c>
      <c r="K160" s="115">
        <f t="shared" si="14"/>
        <v>28753.058572805014</v>
      </c>
    </row>
    <row r="161" spans="7:11" x14ac:dyDescent="0.3">
      <c r="G161" s="153">
        <f t="shared" si="11"/>
        <v>154</v>
      </c>
      <c r="H161" s="113">
        <f t="shared" si="12"/>
        <v>-394.68890567918316</v>
      </c>
      <c r="I161" s="114">
        <f t="shared" si="13"/>
        <v>-119.80441072002088</v>
      </c>
      <c r="J161" s="115">
        <f t="shared" si="10"/>
        <v>-274.88449495916228</v>
      </c>
      <c r="K161" s="115">
        <f t="shared" si="14"/>
        <v>28478.174077845852</v>
      </c>
    </row>
    <row r="162" spans="7:11" x14ac:dyDescent="0.3">
      <c r="G162" s="153">
        <f t="shared" si="11"/>
        <v>155</v>
      </c>
      <c r="H162" s="113">
        <f t="shared" si="12"/>
        <v>-394.68890567918316</v>
      </c>
      <c r="I162" s="114">
        <f t="shared" si="13"/>
        <v>-118.65905865769105</v>
      </c>
      <c r="J162" s="115">
        <f t="shared" si="10"/>
        <v>-276.02984702149212</v>
      </c>
      <c r="K162" s="115">
        <f t="shared" si="14"/>
        <v>28202.14423082436</v>
      </c>
    </row>
    <row r="163" spans="7:11" x14ac:dyDescent="0.3">
      <c r="G163" s="153">
        <f t="shared" si="11"/>
        <v>156</v>
      </c>
      <c r="H163" s="113">
        <f t="shared" si="12"/>
        <v>-394.68890567918316</v>
      </c>
      <c r="I163" s="114">
        <f t="shared" si="13"/>
        <v>-117.5089342951015</v>
      </c>
      <c r="J163" s="115">
        <f t="shared" si="10"/>
        <v>-277.17997138408168</v>
      </c>
      <c r="K163" s="115">
        <f t="shared" si="14"/>
        <v>27924.964259440279</v>
      </c>
    </row>
    <row r="164" spans="7:11" x14ac:dyDescent="0.3">
      <c r="G164" s="153">
        <f t="shared" si="11"/>
        <v>157</v>
      </c>
      <c r="H164" s="113">
        <f t="shared" si="12"/>
        <v>-394.68890567918316</v>
      </c>
      <c r="I164" s="114">
        <f t="shared" si="13"/>
        <v>-116.35401774766783</v>
      </c>
      <c r="J164" s="115">
        <f t="shared" si="10"/>
        <v>-278.33488793151537</v>
      </c>
      <c r="K164" s="115">
        <f t="shared" si="14"/>
        <v>27646.629371508763</v>
      </c>
    </row>
    <row r="165" spans="7:11" x14ac:dyDescent="0.3">
      <c r="G165" s="153">
        <f t="shared" si="11"/>
        <v>158</v>
      </c>
      <c r="H165" s="113">
        <f t="shared" si="12"/>
        <v>-394.68890567918316</v>
      </c>
      <c r="I165" s="114">
        <f t="shared" si="13"/>
        <v>-115.19428904795318</v>
      </c>
      <c r="J165" s="115">
        <f t="shared" si="10"/>
        <v>-279.49461663122997</v>
      </c>
      <c r="K165" s="115">
        <f t="shared" si="14"/>
        <v>27367.134754877534</v>
      </c>
    </row>
    <row r="166" spans="7:11" x14ac:dyDescent="0.3">
      <c r="G166" s="153">
        <f t="shared" si="11"/>
        <v>159</v>
      </c>
      <c r="H166" s="113">
        <f t="shared" si="12"/>
        <v>-394.68890567918316</v>
      </c>
      <c r="I166" s="114">
        <f t="shared" si="13"/>
        <v>-114.02972814532306</v>
      </c>
      <c r="J166" s="115">
        <f t="shared" si="10"/>
        <v>-280.65917753386009</v>
      </c>
      <c r="K166" s="115">
        <f t="shared" si="14"/>
        <v>27086.475577343674</v>
      </c>
    </row>
    <row r="167" spans="7:11" x14ac:dyDescent="0.3">
      <c r="G167" s="153">
        <f t="shared" si="11"/>
        <v>160</v>
      </c>
      <c r="H167" s="113">
        <f t="shared" si="12"/>
        <v>-394.68890567918316</v>
      </c>
      <c r="I167" s="114">
        <f t="shared" si="13"/>
        <v>-112.86031490559864</v>
      </c>
      <c r="J167" s="115">
        <f t="shared" si="10"/>
        <v>-281.82859077358455</v>
      </c>
      <c r="K167" s="115">
        <f t="shared" si="14"/>
        <v>26804.646986570089</v>
      </c>
    </row>
    <row r="168" spans="7:11" x14ac:dyDescent="0.3">
      <c r="G168" s="153">
        <f t="shared" si="11"/>
        <v>161</v>
      </c>
      <c r="H168" s="113">
        <f t="shared" si="12"/>
        <v>-394.68890567918316</v>
      </c>
      <c r="I168" s="114">
        <f t="shared" si="13"/>
        <v>-111.6860291107087</v>
      </c>
      <c r="J168" s="115">
        <f t="shared" si="10"/>
        <v>-283.00287656847445</v>
      </c>
      <c r="K168" s="115">
        <f t="shared" si="14"/>
        <v>26521.644110001616</v>
      </c>
    </row>
    <row r="169" spans="7:11" x14ac:dyDescent="0.3">
      <c r="G169" s="153">
        <f t="shared" si="11"/>
        <v>162</v>
      </c>
      <c r="H169" s="113">
        <f t="shared" si="12"/>
        <v>-394.68890567918316</v>
      </c>
      <c r="I169" s="114">
        <f t="shared" si="13"/>
        <v>-110.50685045834007</v>
      </c>
      <c r="J169" s="115">
        <f t="shared" si="10"/>
        <v>-284.1820552208431</v>
      </c>
      <c r="K169" s="115">
        <f t="shared" si="14"/>
        <v>26237.462054780772</v>
      </c>
    </row>
    <row r="170" spans="7:11" x14ac:dyDescent="0.3">
      <c r="G170" s="153">
        <f t="shared" si="11"/>
        <v>163</v>
      </c>
      <c r="H170" s="113">
        <f t="shared" si="12"/>
        <v>-394.68890567918316</v>
      </c>
      <c r="I170" s="114">
        <f t="shared" si="13"/>
        <v>-109.32275856158655</v>
      </c>
      <c r="J170" s="115">
        <f t="shared" si="10"/>
        <v>-285.3661471175966</v>
      </c>
      <c r="K170" s="115">
        <f t="shared" si="14"/>
        <v>25952.095907663173</v>
      </c>
    </row>
    <row r="171" spans="7:11" x14ac:dyDescent="0.3">
      <c r="G171" s="153">
        <f t="shared" si="11"/>
        <v>164</v>
      </c>
      <c r="H171" s="113">
        <f t="shared" si="12"/>
        <v>-394.68890567918316</v>
      </c>
      <c r="I171" s="114">
        <f t="shared" si="13"/>
        <v>-108.13373294859656</v>
      </c>
      <c r="J171" s="115">
        <f t="shared" si="10"/>
        <v>-286.55517273058661</v>
      </c>
      <c r="K171" s="115">
        <f t="shared" si="14"/>
        <v>25665.540734932587</v>
      </c>
    </row>
    <row r="172" spans="7:11" x14ac:dyDescent="0.3">
      <c r="G172" s="153">
        <f t="shared" si="11"/>
        <v>165</v>
      </c>
      <c r="H172" s="113">
        <f t="shared" si="12"/>
        <v>-394.68890567918316</v>
      </c>
      <c r="I172" s="114">
        <f t="shared" si="13"/>
        <v>-106.93975306221911</v>
      </c>
      <c r="J172" s="115">
        <f t="shared" si="10"/>
        <v>-287.74915261696407</v>
      </c>
      <c r="K172" s="115">
        <f t="shared" si="14"/>
        <v>25377.791582315622</v>
      </c>
    </row>
    <row r="173" spans="7:11" x14ac:dyDescent="0.3">
      <c r="G173" s="153">
        <f t="shared" si="11"/>
        <v>166</v>
      </c>
      <c r="H173" s="113">
        <f t="shared" si="12"/>
        <v>-394.68890567918316</v>
      </c>
      <c r="I173" s="114">
        <f t="shared" si="13"/>
        <v>-105.74079825964843</v>
      </c>
      <c r="J173" s="115">
        <f t="shared" si="10"/>
        <v>-288.94810741953472</v>
      </c>
      <c r="K173" s="115">
        <f t="shared" si="14"/>
        <v>25088.843474896086</v>
      </c>
    </row>
    <row r="174" spans="7:11" x14ac:dyDescent="0.3">
      <c r="G174" s="153">
        <f t="shared" si="11"/>
        <v>167</v>
      </c>
      <c r="H174" s="113">
        <f t="shared" si="12"/>
        <v>-394.68890567918316</v>
      </c>
      <c r="I174" s="114">
        <f t="shared" si="13"/>
        <v>-104.53684781206702</v>
      </c>
      <c r="J174" s="115">
        <f t="shared" si="10"/>
        <v>-290.15205786711613</v>
      </c>
      <c r="K174" s="115">
        <f t="shared" si="14"/>
        <v>24798.691417028971</v>
      </c>
    </row>
    <row r="175" spans="7:11" x14ac:dyDescent="0.3">
      <c r="G175" s="153">
        <f t="shared" si="11"/>
        <v>168</v>
      </c>
      <c r="H175" s="113">
        <f t="shared" si="12"/>
        <v>-394.68890567918316</v>
      </c>
      <c r="I175" s="114">
        <f t="shared" si="13"/>
        <v>-103.32788090428738</v>
      </c>
      <c r="J175" s="115">
        <f t="shared" si="10"/>
        <v>-291.36102477489578</v>
      </c>
      <c r="K175" s="115">
        <f t="shared" si="14"/>
        <v>24507.330392254076</v>
      </c>
    </row>
    <row r="176" spans="7:11" x14ac:dyDescent="0.3">
      <c r="G176" s="153">
        <f t="shared" si="11"/>
        <v>169</v>
      </c>
      <c r="H176" s="113">
        <f t="shared" si="12"/>
        <v>-394.68890567918316</v>
      </c>
      <c r="I176" s="114">
        <f t="shared" si="13"/>
        <v>-102.11387663439199</v>
      </c>
      <c r="J176" s="115">
        <f t="shared" si="10"/>
        <v>-292.57502904479117</v>
      </c>
      <c r="K176" s="115">
        <f t="shared" si="14"/>
        <v>24214.755363209286</v>
      </c>
    </row>
    <row r="177" spans="7:11" x14ac:dyDescent="0.3">
      <c r="G177" s="153">
        <f t="shared" si="11"/>
        <v>170</v>
      </c>
      <c r="H177" s="113">
        <f t="shared" si="12"/>
        <v>-394.68890567918316</v>
      </c>
      <c r="I177" s="114">
        <f t="shared" si="13"/>
        <v>-100.89481401337203</v>
      </c>
      <c r="J177" s="115">
        <f t="shared" si="10"/>
        <v>-293.79409166581115</v>
      </c>
      <c r="K177" s="115">
        <f t="shared" si="14"/>
        <v>23920.961271543474</v>
      </c>
    </row>
    <row r="178" spans="7:11" x14ac:dyDescent="0.3">
      <c r="G178" s="153">
        <f t="shared" si="11"/>
        <v>171</v>
      </c>
      <c r="H178" s="113">
        <f t="shared" si="12"/>
        <v>-394.68890567918316</v>
      </c>
      <c r="I178" s="114">
        <f t="shared" si="13"/>
        <v>-99.67067196476448</v>
      </c>
      <c r="J178" s="115">
        <f t="shared" si="10"/>
        <v>-295.01823371441867</v>
      </c>
      <c r="K178" s="115">
        <f t="shared" si="14"/>
        <v>23625.943037829056</v>
      </c>
    </row>
    <row r="179" spans="7:11" x14ac:dyDescent="0.3">
      <c r="G179" s="153">
        <f t="shared" si="11"/>
        <v>172</v>
      </c>
      <c r="H179" s="113">
        <f t="shared" si="12"/>
        <v>-394.68890567918316</v>
      </c>
      <c r="I179" s="114">
        <f t="shared" si="13"/>
        <v>-98.441429324287739</v>
      </c>
      <c r="J179" s="115">
        <f t="shared" si="10"/>
        <v>-296.24747635489541</v>
      </c>
      <c r="K179" s="115">
        <f t="shared" si="14"/>
        <v>23329.69556147416</v>
      </c>
    </row>
    <row r="180" spans="7:11" x14ac:dyDescent="0.3">
      <c r="G180" s="153">
        <f t="shared" si="11"/>
        <v>173</v>
      </c>
      <c r="H180" s="113">
        <f t="shared" si="12"/>
        <v>-394.68890567918316</v>
      </c>
      <c r="I180" s="114">
        <f t="shared" si="13"/>
        <v>-97.207064839475663</v>
      </c>
      <c r="J180" s="115">
        <f t="shared" si="10"/>
        <v>-297.4818408397075</v>
      </c>
      <c r="K180" s="115">
        <f t="shared" si="14"/>
        <v>23032.213720634452</v>
      </c>
    </row>
    <row r="181" spans="7:11" x14ac:dyDescent="0.3">
      <c r="G181" s="153">
        <f t="shared" si="11"/>
        <v>174</v>
      </c>
      <c r="H181" s="113">
        <f t="shared" si="12"/>
        <v>-394.68890567918316</v>
      </c>
      <c r="I181" s="114">
        <f t="shared" si="13"/>
        <v>-95.967557169310211</v>
      </c>
      <c r="J181" s="115">
        <f t="shared" si="10"/>
        <v>-298.72134850987294</v>
      </c>
      <c r="K181" s="115">
        <f t="shared" si="14"/>
        <v>22733.49237212458</v>
      </c>
    </row>
    <row r="182" spans="7:11" x14ac:dyDescent="0.3">
      <c r="G182" s="153">
        <f t="shared" si="11"/>
        <v>175</v>
      </c>
      <c r="H182" s="113">
        <f t="shared" si="12"/>
        <v>-394.68890567918316</v>
      </c>
      <c r="I182" s="114">
        <f t="shared" si="13"/>
        <v>-94.722884883852416</v>
      </c>
      <c r="J182" s="115">
        <f t="shared" si="10"/>
        <v>-299.96602079533073</v>
      </c>
      <c r="K182" s="115">
        <f t="shared" si="14"/>
        <v>22433.526351329248</v>
      </c>
    </row>
    <row r="183" spans="7:11" x14ac:dyDescent="0.3">
      <c r="G183" s="153">
        <f t="shared" si="11"/>
        <v>176</v>
      </c>
      <c r="H183" s="113">
        <f t="shared" si="12"/>
        <v>-394.68890567918316</v>
      </c>
      <c r="I183" s="114">
        <f t="shared" si="13"/>
        <v>-93.473026463871861</v>
      </c>
      <c r="J183" s="115">
        <f t="shared" si="10"/>
        <v>-301.2158792153113</v>
      </c>
      <c r="K183" s="115">
        <f t="shared" si="14"/>
        <v>22132.310472113939</v>
      </c>
    </row>
    <row r="184" spans="7:11" x14ac:dyDescent="0.3">
      <c r="G184" s="153">
        <f t="shared" si="11"/>
        <v>177</v>
      </c>
      <c r="H184" s="113">
        <f t="shared" si="12"/>
        <v>-394.68890567918316</v>
      </c>
      <c r="I184" s="114">
        <f t="shared" si="13"/>
        <v>-92.217960300474743</v>
      </c>
      <c r="J184" s="115">
        <f t="shared" si="10"/>
        <v>-302.47094537870839</v>
      </c>
      <c r="K184" s="115">
        <f t="shared" si="14"/>
        <v>21829.839526735232</v>
      </c>
    </row>
    <row r="185" spans="7:11" x14ac:dyDescent="0.3">
      <c r="G185" s="153">
        <f t="shared" si="11"/>
        <v>178</v>
      </c>
      <c r="H185" s="113">
        <f t="shared" si="12"/>
        <v>-394.68890567918316</v>
      </c>
      <c r="I185" s="114">
        <f t="shared" si="13"/>
        <v>-90.957664694730127</v>
      </c>
      <c r="J185" s="115">
        <f t="shared" si="10"/>
        <v>-303.73124098445305</v>
      </c>
      <c r="K185" s="115">
        <f t="shared" si="14"/>
        <v>21526.108285750779</v>
      </c>
    </row>
    <row r="186" spans="7:11" x14ac:dyDescent="0.3">
      <c r="G186" s="153">
        <f t="shared" si="11"/>
        <v>179</v>
      </c>
      <c r="H186" s="113">
        <f t="shared" si="12"/>
        <v>-394.68890567918316</v>
      </c>
      <c r="I186" s="114">
        <f t="shared" si="13"/>
        <v>-89.692117857294917</v>
      </c>
      <c r="J186" s="115">
        <f t="shared" si="10"/>
        <v>-304.99678782188823</v>
      </c>
      <c r="K186" s="115">
        <f t="shared" si="14"/>
        <v>21221.11149792889</v>
      </c>
    </row>
    <row r="187" spans="7:11" x14ac:dyDescent="0.3">
      <c r="G187" s="153">
        <f t="shared" si="11"/>
        <v>180</v>
      </c>
      <c r="H187" s="113">
        <f t="shared" si="12"/>
        <v>-394.68890567918316</v>
      </c>
      <c r="I187" s="114">
        <f t="shared" si="13"/>
        <v>-88.421297908037047</v>
      </c>
      <c r="J187" s="115">
        <f t="shared" si="10"/>
        <v>-306.26760777114612</v>
      </c>
      <c r="K187" s="115">
        <f t="shared" si="14"/>
        <v>20914.843890157743</v>
      </c>
    </row>
    <row r="188" spans="7:11" x14ac:dyDescent="0.3">
      <c r="G188" s="153">
        <f t="shared" si="11"/>
        <v>181</v>
      </c>
      <c r="H188" s="113">
        <f t="shared" si="12"/>
        <v>-394.68890567918316</v>
      </c>
      <c r="I188" s="114">
        <f t="shared" si="13"/>
        <v>-87.145182875657255</v>
      </c>
      <c r="J188" s="115">
        <f t="shared" si="10"/>
        <v>-307.5437228035259</v>
      </c>
      <c r="K188" s="115">
        <f t="shared" si="14"/>
        <v>20607.300167354217</v>
      </c>
    </row>
    <row r="189" spans="7:11" x14ac:dyDescent="0.3">
      <c r="G189" s="153">
        <f t="shared" si="11"/>
        <v>182</v>
      </c>
      <c r="H189" s="113">
        <f t="shared" si="12"/>
        <v>-394.68890567918316</v>
      </c>
      <c r="I189" s="114">
        <f t="shared" si="13"/>
        <v>-85.863750697309229</v>
      </c>
      <c r="J189" s="115">
        <f t="shared" si="10"/>
        <v>-308.82515498187394</v>
      </c>
      <c r="K189" s="115">
        <f t="shared" si="14"/>
        <v>20298.475012372342</v>
      </c>
    </row>
    <row r="190" spans="7:11" x14ac:dyDescent="0.3">
      <c r="G190" s="153">
        <f t="shared" si="11"/>
        <v>183</v>
      </c>
      <c r="H190" s="113">
        <f t="shared" si="12"/>
        <v>-394.68890567918316</v>
      </c>
      <c r="I190" s="114">
        <f t="shared" si="13"/>
        <v>-84.576979218218099</v>
      </c>
      <c r="J190" s="115">
        <f t="shared" si="10"/>
        <v>-310.11192646096504</v>
      </c>
      <c r="K190" s="115">
        <f t="shared" si="14"/>
        <v>19988.363085911376</v>
      </c>
    </row>
    <row r="191" spans="7:11" x14ac:dyDescent="0.3">
      <c r="G191" s="153">
        <f t="shared" si="11"/>
        <v>184</v>
      </c>
      <c r="H191" s="113">
        <f t="shared" si="12"/>
        <v>-394.68890567918316</v>
      </c>
      <c r="I191" s="114">
        <f t="shared" si="13"/>
        <v>-83.284846191297405</v>
      </c>
      <c r="J191" s="115">
        <f t="shared" si="10"/>
        <v>-311.40405948788577</v>
      </c>
      <c r="K191" s="115">
        <f t="shared" si="14"/>
        <v>19676.95902642349</v>
      </c>
    </row>
    <row r="192" spans="7:11" x14ac:dyDescent="0.3">
      <c r="G192" s="153">
        <f t="shared" si="11"/>
        <v>185</v>
      </c>
      <c r="H192" s="113">
        <f t="shared" si="12"/>
        <v>-394.68890567918316</v>
      </c>
      <c r="I192" s="114">
        <f t="shared" si="13"/>
        <v>-81.987329276764541</v>
      </c>
      <c r="J192" s="115">
        <f t="shared" si="10"/>
        <v>-312.7015764024186</v>
      </c>
      <c r="K192" s="115">
        <f t="shared" si="14"/>
        <v>19364.257450021072</v>
      </c>
    </row>
    <row r="193" spans="7:11" x14ac:dyDescent="0.3">
      <c r="G193" s="153">
        <f t="shared" si="11"/>
        <v>186</v>
      </c>
      <c r="H193" s="113">
        <f t="shared" si="12"/>
        <v>-394.68890567918316</v>
      </c>
      <c r="I193" s="114">
        <f t="shared" si="13"/>
        <v>-80.684406041754471</v>
      </c>
      <c r="J193" s="115">
        <f t="shared" si="10"/>
        <v>-314.00449963742869</v>
      </c>
      <c r="K193" s="115">
        <f t="shared" si="14"/>
        <v>19050.252950383645</v>
      </c>
    </row>
    <row r="194" spans="7:11" x14ac:dyDescent="0.3">
      <c r="G194" s="153">
        <f t="shared" si="11"/>
        <v>187</v>
      </c>
      <c r="H194" s="113">
        <f t="shared" si="12"/>
        <v>-394.68890567918316</v>
      </c>
      <c r="I194" s="114">
        <f t="shared" si="13"/>
        <v>-79.376053959931852</v>
      </c>
      <c r="J194" s="115">
        <f t="shared" si="10"/>
        <v>-315.31285171925128</v>
      </c>
      <c r="K194" s="115">
        <f t="shared" si="14"/>
        <v>18734.940098664392</v>
      </c>
    </row>
    <row r="195" spans="7:11" x14ac:dyDescent="0.3">
      <c r="G195" s="153">
        <f t="shared" si="11"/>
        <v>188</v>
      </c>
      <c r="H195" s="113">
        <f t="shared" si="12"/>
        <v>-394.68890567918316</v>
      </c>
      <c r="I195" s="114">
        <f t="shared" si="13"/>
        <v>-78.06225041110163</v>
      </c>
      <c r="J195" s="115">
        <f t="shared" si="10"/>
        <v>-316.62665526808155</v>
      </c>
      <c r="K195" s="115">
        <f t="shared" si="14"/>
        <v>18418.31344339631</v>
      </c>
    </row>
    <row r="196" spans="7:11" x14ac:dyDescent="0.3">
      <c r="G196" s="153">
        <f t="shared" si="11"/>
        <v>189</v>
      </c>
      <c r="H196" s="113">
        <f t="shared" si="12"/>
        <v>-394.68890567918316</v>
      </c>
      <c r="I196" s="114">
        <f t="shared" si="13"/>
        <v>-76.742972680817957</v>
      </c>
      <c r="J196" s="115">
        <f t="shared" si="10"/>
        <v>-317.94593299836521</v>
      </c>
      <c r="K196" s="115">
        <f t="shared" si="14"/>
        <v>18100.367510397944</v>
      </c>
    </row>
    <row r="197" spans="7:11" x14ac:dyDescent="0.3">
      <c r="G197" s="153">
        <f t="shared" si="11"/>
        <v>190</v>
      </c>
      <c r="H197" s="113">
        <f t="shared" si="12"/>
        <v>-394.68890567918316</v>
      </c>
      <c r="I197" s="114">
        <f t="shared" si="13"/>
        <v>-75.418197959991431</v>
      </c>
      <c r="J197" s="115">
        <f t="shared" si="10"/>
        <v>-319.27070771919171</v>
      </c>
      <c r="K197" s="115">
        <f t="shared" si="14"/>
        <v>17781.096802678752</v>
      </c>
    </row>
    <row r="198" spans="7:11" x14ac:dyDescent="0.3">
      <c r="G198" s="153">
        <f t="shared" si="11"/>
        <v>191</v>
      </c>
      <c r="H198" s="113">
        <f t="shared" si="12"/>
        <v>-394.68890567918316</v>
      </c>
      <c r="I198" s="114">
        <f t="shared" si="13"/>
        <v>-74.087903344494805</v>
      </c>
      <c r="J198" s="115">
        <f t="shared" si="10"/>
        <v>-320.60100233468836</v>
      </c>
      <c r="K198" s="115">
        <f t="shared" si="14"/>
        <v>17460.495800344062</v>
      </c>
    </row>
    <row r="199" spans="7:11" x14ac:dyDescent="0.3">
      <c r="G199" s="153">
        <f t="shared" si="11"/>
        <v>192</v>
      </c>
      <c r="H199" s="113">
        <f t="shared" si="12"/>
        <v>-394.68890567918316</v>
      </c>
      <c r="I199" s="114">
        <f t="shared" si="13"/>
        <v>-72.752065834766924</v>
      </c>
      <c r="J199" s="115">
        <f t="shared" si="10"/>
        <v>-321.93683984441623</v>
      </c>
      <c r="K199" s="115">
        <f t="shared" si="14"/>
        <v>17138.558960499646</v>
      </c>
    </row>
    <row r="200" spans="7:11" x14ac:dyDescent="0.3">
      <c r="G200" s="153">
        <f t="shared" si="11"/>
        <v>193</v>
      </c>
      <c r="H200" s="113">
        <f t="shared" si="12"/>
        <v>-394.68890567918316</v>
      </c>
      <c r="I200" s="114">
        <f t="shared" si="13"/>
        <v>-71.410662335415196</v>
      </c>
      <c r="J200" s="115">
        <f t="shared" ref="J200:J247" si="15">H200-I200</f>
        <v>-323.27824334376794</v>
      </c>
      <c r="K200" s="115">
        <f t="shared" si="14"/>
        <v>16815.280717155878</v>
      </c>
    </row>
    <row r="201" spans="7:11" x14ac:dyDescent="0.3">
      <c r="G201" s="153">
        <f t="shared" ref="G201:G247" si="16">G200+1</f>
        <v>194</v>
      </c>
      <c r="H201" s="113">
        <f t="shared" ref="H201:H247" si="17">PMT($D$5/12,$D$7,$D$4)</f>
        <v>-394.68890567918316</v>
      </c>
      <c r="I201" s="114">
        <f t="shared" ref="I201:I247" si="18">-K200*$D$6</f>
        <v>-70.063669654816152</v>
      </c>
      <c r="J201" s="115">
        <f t="shared" si="15"/>
        <v>-324.62523602436704</v>
      </c>
      <c r="K201" s="115">
        <f t="shared" ref="K201:K247" si="19">K200+J201</f>
        <v>16490.655481131511</v>
      </c>
    </row>
    <row r="202" spans="7:11" x14ac:dyDescent="0.3">
      <c r="G202" s="153">
        <f t="shared" si="16"/>
        <v>195</v>
      </c>
      <c r="H202" s="113">
        <f t="shared" si="17"/>
        <v>-394.68890567918316</v>
      </c>
      <c r="I202" s="114">
        <f t="shared" si="18"/>
        <v>-68.711064504714628</v>
      </c>
      <c r="J202" s="115">
        <f t="shared" si="15"/>
        <v>-325.97784117446855</v>
      </c>
      <c r="K202" s="115">
        <f t="shared" si="19"/>
        <v>16164.677639957043</v>
      </c>
    </row>
    <row r="203" spans="7:11" x14ac:dyDescent="0.3">
      <c r="G203" s="153">
        <f t="shared" si="16"/>
        <v>196</v>
      </c>
      <c r="H203" s="113">
        <f t="shared" si="17"/>
        <v>-394.68890567918316</v>
      </c>
      <c r="I203" s="114">
        <f t="shared" si="18"/>
        <v>-67.352823499821014</v>
      </c>
      <c r="J203" s="115">
        <f t="shared" si="15"/>
        <v>-327.33608217936217</v>
      </c>
      <c r="K203" s="115">
        <f t="shared" si="19"/>
        <v>15837.34155777768</v>
      </c>
    </row>
    <row r="204" spans="7:11" x14ac:dyDescent="0.3">
      <c r="G204" s="153">
        <f t="shared" si="16"/>
        <v>197</v>
      </c>
      <c r="H204" s="113">
        <f t="shared" si="17"/>
        <v>-394.68890567918316</v>
      </c>
      <c r="I204" s="114">
        <f t="shared" si="18"/>
        <v>-65.988923157407001</v>
      </c>
      <c r="J204" s="115">
        <f t="shared" si="15"/>
        <v>-328.69998252177618</v>
      </c>
      <c r="K204" s="115">
        <f t="shared" si="19"/>
        <v>15508.641575255904</v>
      </c>
    </row>
    <row r="205" spans="7:11" x14ac:dyDescent="0.3">
      <c r="G205" s="153">
        <f t="shared" si="16"/>
        <v>198</v>
      </c>
      <c r="H205" s="113">
        <f t="shared" si="17"/>
        <v>-394.68890567918316</v>
      </c>
      <c r="I205" s="114">
        <f t="shared" si="18"/>
        <v>-64.619339896899604</v>
      </c>
      <c r="J205" s="115">
        <f t="shared" si="15"/>
        <v>-330.06956578228358</v>
      </c>
      <c r="K205" s="115">
        <f t="shared" si="19"/>
        <v>15178.572009473621</v>
      </c>
    </row>
    <row r="206" spans="7:11" x14ac:dyDescent="0.3">
      <c r="G206" s="153">
        <f t="shared" si="16"/>
        <v>199</v>
      </c>
      <c r="H206" s="113">
        <f t="shared" si="17"/>
        <v>-394.68890567918316</v>
      </c>
      <c r="I206" s="114">
        <f t="shared" si="18"/>
        <v>-63.244050039473422</v>
      </c>
      <c r="J206" s="115">
        <f t="shared" si="15"/>
        <v>-331.44485563970977</v>
      </c>
      <c r="K206" s="115">
        <f t="shared" si="19"/>
        <v>14847.127153833912</v>
      </c>
    </row>
    <row r="207" spans="7:11" x14ac:dyDescent="0.3">
      <c r="G207" s="153">
        <f t="shared" si="16"/>
        <v>200</v>
      </c>
      <c r="H207" s="113">
        <f t="shared" si="17"/>
        <v>-394.68890567918316</v>
      </c>
      <c r="I207" s="114">
        <f t="shared" si="18"/>
        <v>-61.863029807641297</v>
      </c>
      <c r="J207" s="115">
        <f t="shared" si="15"/>
        <v>-332.82587587154188</v>
      </c>
      <c r="K207" s="115">
        <f t="shared" si="19"/>
        <v>14514.30127796237</v>
      </c>
    </row>
    <row r="208" spans="7:11" x14ac:dyDescent="0.3">
      <c r="G208" s="153">
        <f t="shared" si="16"/>
        <v>201</v>
      </c>
      <c r="H208" s="113">
        <f t="shared" si="17"/>
        <v>-394.68890567918316</v>
      </c>
      <c r="I208" s="114">
        <f t="shared" si="18"/>
        <v>-60.476255324843208</v>
      </c>
      <c r="J208" s="115">
        <f t="shared" si="15"/>
        <v>-334.21265035433998</v>
      </c>
      <c r="K208" s="115">
        <f t="shared" si="19"/>
        <v>14180.088627608029</v>
      </c>
    </row>
    <row r="209" spans="7:11" x14ac:dyDescent="0.3">
      <c r="G209" s="153">
        <f t="shared" si="16"/>
        <v>202</v>
      </c>
      <c r="H209" s="113">
        <f t="shared" si="17"/>
        <v>-394.68890567918316</v>
      </c>
      <c r="I209" s="114">
        <f t="shared" si="18"/>
        <v>-59.083702615033452</v>
      </c>
      <c r="J209" s="115">
        <f t="shared" si="15"/>
        <v>-335.60520306414969</v>
      </c>
      <c r="K209" s="115">
        <f t="shared" si="19"/>
        <v>13844.48342454388</v>
      </c>
    </row>
    <row r="210" spans="7:11" x14ac:dyDescent="0.3">
      <c r="G210" s="153">
        <f t="shared" si="16"/>
        <v>203</v>
      </c>
      <c r="H210" s="113">
        <f t="shared" si="17"/>
        <v>-394.68890567918316</v>
      </c>
      <c r="I210" s="114">
        <f t="shared" si="18"/>
        <v>-57.685347602266162</v>
      </c>
      <c r="J210" s="115">
        <f t="shared" si="15"/>
        <v>-337.00355807691699</v>
      </c>
      <c r="K210" s="115">
        <f t="shared" si="19"/>
        <v>13507.479866466963</v>
      </c>
    </row>
    <row r="211" spans="7:11" x14ac:dyDescent="0.3">
      <c r="G211" s="153">
        <f t="shared" si="16"/>
        <v>204</v>
      </c>
      <c r="H211" s="113">
        <f t="shared" si="17"/>
        <v>-394.68890567918316</v>
      </c>
      <c r="I211" s="114">
        <f t="shared" si="18"/>
        <v>-56.28116611027901</v>
      </c>
      <c r="J211" s="115">
        <f t="shared" si="15"/>
        <v>-338.40773956890416</v>
      </c>
      <c r="K211" s="115">
        <f t="shared" si="19"/>
        <v>13169.07212689806</v>
      </c>
    </row>
    <row r="212" spans="7:11" x14ac:dyDescent="0.3">
      <c r="G212" s="153">
        <f t="shared" si="16"/>
        <v>205</v>
      </c>
      <c r="H212" s="113">
        <f t="shared" si="17"/>
        <v>-394.68890567918316</v>
      </c>
      <c r="I212" s="114">
        <f t="shared" si="18"/>
        <v>-54.871133862075247</v>
      </c>
      <c r="J212" s="115">
        <f t="shared" si="15"/>
        <v>-339.81777181710794</v>
      </c>
      <c r="K212" s="115">
        <f t="shared" si="19"/>
        <v>12829.254355080951</v>
      </c>
    </row>
    <row r="213" spans="7:11" x14ac:dyDescent="0.3">
      <c r="G213" s="153">
        <f t="shared" si="16"/>
        <v>206</v>
      </c>
      <c r="H213" s="113">
        <f t="shared" si="17"/>
        <v>-394.68890567918316</v>
      </c>
      <c r="I213" s="114">
        <f t="shared" si="18"/>
        <v>-53.455226479503963</v>
      </c>
      <c r="J213" s="115">
        <f t="shared" si="15"/>
        <v>-341.23367919967922</v>
      </c>
      <c r="K213" s="115">
        <f t="shared" si="19"/>
        <v>12488.020675881273</v>
      </c>
    </row>
    <row r="214" spans="7:11" x14ac:dyDescent="0.3">
      <c r="G214" s="153">
        <f t="shared" si="16"/>
        <v>207</v>
      </c>
      <c r="H214" s="113">
        <f t="shared" si="17"/>
        <v>-394.68890567918316</v>
      </c>
      <c r="I214" s="114">
        <f t="shared" si="18"/>
        <v>-52.033419482838639</v>
      </c>
      <c r="J214" s="115">
        <f t="shared" si="15"/>
        <v>-342.65548619634455</v>
      </c>
      <c r="K214" s="115">
        <f t="shared" si="19"/>
        <v>12145.365189684928</v>
      </c>
    </row>
    <row r="215" spans="7:11" x14ac:dyDescent="0.3">
      <c r="G215" s="153">
        <f t="shared" si="16"/>
        <v>208</v>
      </c>
      <c r="H215" s="113">
        <f t="shared" si="17"/>
        <v>-394.68890567918316</v>
      </c>
      <c r="I215" s="114">
        <f t="shared" si="18"/>
        <v>-50.605688290353868</v>
      </c>
      <c r="J215" s="115">
        <f t="shared" si="15"/>
        <v>-344.08321738882933</v>
      </c>
      <c r="K215" s="115">
        <f t="shared" si="19"/>
        <v>11801.281972296099</v>
      </c>
    </row>
    <row r="216" spans="7:11" x14ac:dyDescent="0.3">
      <c r="G216" s="153">
        <f t="shared" si="16"/>
        <v>209</v>
      </c>
      <c r="H216" s="113">
        <f t="shared" si="17"/>
        <v>-394.68890567918316</v>
      </c>
      <c r="I216" s="114">
        <f t="shared" si="18"/>
        <v>-49.172008217900412</v>
      </c>
      <c r="J216" s="115">
        <f t="shared" si="15"/>
        <v>-345.51689746128272</v>
      </c>
      <c r="K216" s="115">
        <f t="shared" si="19"/>
        <v>11455.765074834817</v>
      </c>
    </row>
    <row r="217" spans="7:11" x14ac:dyDescent="0.3">
      <c r="G217" s="153">
        <f t="shared" si="16"/>
        <v>210</v>
      </c>
      <c r="H217" s="113">
        <f t="shared" si="17"/>
        <v>-394.68890567918316</v>
      </c>
      <c r="I217" s="114">
        <f t="shared" si="18"/>
        <v>-47.732354478478406</v>
      </c>
      <c r="J217" s="115">
        <f t="shared" si="15"/>
        <v>-346.95655120070478</v>
      </c>
      <c r="K217" s="115">
        <f t="shared" si="19"/>
        <v>11108.808523634112</v>
      </c>
    </row>
    <row r="218" spans="7:11" x14ac:dyDescent="0.3">
      <c r="G218" s="153">
        <f t="shared" si="16"/>
        <v>211</v>
      </c>
      <c r="H218" s="113">
        <f t="shared" si="17"/>
        <v>-394.68890567918316</v>
      </c>
      <c r="I218" s="114">
        <f t="shared" si="18"/>
        <v>-46.286702181808799</v>
      </c>
      <c r="J218" s="115">
        <f t="shared" si="15"/>
        <v>-348.40220349737439</v>
      </c>
      <c r="K218" s="115">
        <f t="shared" si="19"/>
        <v>10760.406320136737</v>
      </c>
    </row>
    <row r="219" spans="7:11" x14ac:dyDescent="0.3">
      <c r="G219" s="153">
        <f t="shared" si="16"/>
        <v>212</v>
      </c>
      <c r="H219" s="113">
        <f t="shared" si="17"/>
        <v>-394.68890567918316</v>
      </c>
      <c r="I219" s="114">
        <f t="shared" si="18"/>
        <v>-44.835026333903073</v>
      </c>
      <c r="J219" s="115">
        <f t="shared" si="15"/>
        <v>-349.85387934528012</v>
      </c>
      <c r="K219" s="115">
        <f t="shared" si="19"/>
        <v>10410.552440791456</v>
      </c>
    </row>
    <row r="220" spans="7:11" x14ac:dyDescent="0.3">
      <c r="G220" s="153">
        <f t="shared" si="16"/>
        <v>213</v>
      </c>
      <c r="H220" s="113">
        <f t="shared" si="17"/>
        <v>-394.68890567918316</v>
      </c>
      <c r="I220" s="114">
        <f t="shared" si="18"/>
        <v>-43.377301836631069</v>
      </c>
      <c r="J220" s="115">
        <f t="shared" si="15"/>
        <v>-351.31160384255207</v>
      </c>
      <c r="K220" s="115">
        <f t="shared" si="19"/>
        <v>10059.240836948904</v>
      </c>
    </row>
    <row r="221" spans="7:11" x14ac:dyDescent="0.3">
      <c r="G221" s="153">
        <f t="shared" si="16"/>
        <v>214</v>
      </c>
      <c r="H221" s="113">
        <f t="shared" si="17"/>
        <v>-394.68890567918316</v>
      </c>
      <c r="I221" s="114">
        <f t="shared" si="18"/>
        <v>-41.913503487287102</v>
      </c>
      <c r="J221" s="115">
        <f t="shared" si="15"/>
        <v>-352.77540219189609</v>
      </c>
      <c r="K221" s="115">
        <f t="shared" si="19"/>
        <v>9706.4654347570086</v>
      </c>
    </row>
    <row r="222" spans="7:11" x14ac:dyDescent="0.3">
      <c r="G222" s="153">
        <f t="shared" si="16"/>
        <v>215</v>
      </c>
      <c r="H222" s="113">
        <f t="shared" si="17"/>
        <v>-394.68890567918316</v>
      </c>
      <c r="I222" s="114">
        <f t="shared" si="18"/>
        <v>-40.443605978154203</v>
      </c>
      <c r="J222" s="115">
        <f t="shared" si="15"/>
        <v>-354.24529970102896</v>
      </c>
      <c r="K222" s="115">
        <f t="shared" si="19"/>
        <v>9352.220135055979</v>
      </c>
    </row>
    <row r="223" spans="7:11" x14ac:dyDescent="0.3">
      <c r="G223" s="153">
        <f t="shared" si="16"/>
        <v>216</v>
      </c>
      <c r="H223" s="113">
        <f t="shared" si="17"/>
        <v>-394.68890567918316</v>
      </c>
      <c r="I223" s="114">
        <f t="shared" si="18"/>
        <v>-38.967583896066579</v>
      </c>
      <c r="J223" s="115">
        <f t="shared" si="15"/>
        <v>-355.72132178311659</v>
      </c>
      <c r="K223" s="115">
        <f t="shared" si="19"/>
        <v>8996.4988132728631</v>
      </c>
    </row>
    <row r="224" spans="7:11" x14ac:dyDescent="0.3">
      <c r="G224" s="153">
        <f t="shared" si="16"/>
        <v>217</v>
      </c>
      <c r="H224" s="113">
        <f t="shared" si="17"/>
        <v>-394.68890567918316</v>
      </c>
      <c r="I224" s="114">
        <f t="shared" si="18"/>
        <v>-37.485411721970266</v>
      </c>
      <c r="J224" s="115">
        <f t="shared" si="15"/>
        <v>-357.20349395721291</v>
      </c>
      <c r="K224" s="115">
        <f t="shared" si="19"/>
        <v>8639.29531931565</v>
      </c>
    </row>
    <row r="225" spans="7:11" x14ac:dyDescent="0.3">
      <c r="G225" s="153">
        <f t="shared" si="16"/>
        <v>218</v>
      </c>
      <c r="H225" s="113">
        <f t="shared" si="17"/>
        <v>-394.68890567918316</v>
      </c>
      <c r="I225" s="114">
        <f t="shared" si="18"/>
        <v>-35.997063830481878</v>
      </c>
      <c r="J225" s="115">
        <f t="shared" si="15"/>
        <v>-358.6918418487013</v>
      </c>
      <c r="K225" s="115">
        <f t="shared" si="19"/>
        <v>8280.6034774669479</v>
      </c>
    </row>
    <row r="226" spans="7:11" x14ac:dyDescent="0.3">
      <c r="G226" s="153">
        <f t="shared" si="16"/>
        <v>219</v>
      </c>
      <c r="H226" s="113">
        <f t="shared" si="17"/>
        <v>-394.68890567918316</v>
      </c>
      <c r="I226" s="114">
        <f t="shared" si="18"/>
        <v>-34.502514489445616</v>
      </c>
      <c r="J226" s="115">
        <f t="shared" si="15"/>
        <v>-360.18639118973755</v>
      </c>
      <c r="K226" s="115">
        <f t="shared" si="19"/>
        <v>7920.4170862772107</v>
      </c>
    </row>
    <row r="227" spans="7:11" x14ac:dyDescent="0.3">
      <c r="G227" s="153">
        <f t="shared" si="16"/>
        <v>220</v>
      </c>
      <c r="H227" s="113">
        <f t="shared" si="17"/>
        <v>-394.68890567918316</v>
      </c>
      <c r="I227" s="114">
        <f t="shared" si="18"/>
        <v>-33.001737859488379</v>
      </c>
      <c r="J227" s="115">
        <f t="shared" si="15"/>
        <v>-361.68716781969476</v>
      </c>
      <c r="K227" s="115">
        <f t="shared" si="19"/>
        <v>7558.7299184575159</v>
      </c>
    </row>
    <row r="228" spans="7:11" x14ac:dyDescent="0.3">
      <c r="G228" s="153">
        <f t="shared" si="16"/>
        <v>221</v>
      </c>
      <c r="H228" s="113">
        <f t="shared" si="17"/>
        <v>-394.68890567918316</v>
      </c>
      <c r="I228" s="114">
        <f t="shared" si="18"/>
        <v>-31.494707993572984</v>
      </c>
      <c r="J228" s="115">
        <f t="shared" si="15"/>
        <v>-363.19419768561016</v>
      </c>
      <c r="K228" s="115">
        <f t="shared" si="19"/>
        <v>7195.5357207719053</v>
      </c>
    </row>
    <row r="229" spans="7:11" x14ac:dyDescent="0.3">
      <c r="G229" s="153">
        <f t="shared" si="16"/>
        <v>222</v>
      </c>
      <c r="H229" s="113">
        <f t="shared" si="17"/>
        <v>-394.68890567918316</v>
      </c>
      <c r="I229" s="114">
        <f t="shared" si="18"/>
        <v>-29.981398836549605</v>
      </c>
      <c r="J229" s="115">
        <f t="shared" si="15"/>
        <v>-364.70750684263356</v>
      </c>
      <c r="K229" s="115">
        <f t="shared" si="19"/>
        <v>6830.8282139292714</v>
      </c>
    </row>
    <row r="230" spans="7:11" x14ac:dyDescent="0.3">
      <c r="G230" s="153">
        <f t="shared" si="16"/>
        <v>223</v>
      </c>
      <c r="H230" s="113">
        <f t="shared" si="17"/>
        <v>-394.68890567918316</v>
      </c>
      <c r="I230" s="114">
        <f t="shared" si="18"/>
        <v>-28.461784224705298</v>
      </c>
      <c r="J230" s="115">
        <f t="shared" si="15"/>
        <v>-366.22712145447787</v>
      </c>
      <c r="K230" s="115">
        <f t="shared" si="19"/>
        <v>6464.6010924747934</v>
      </c>
    </row>
    <row r="231" spans="7:11" x14ac:dyDescent="0.3">
      <c r="G231" s="153">
        <f t="shared" si="16"/>
        <v>224</v>
      </c>
      <c r="H231" s="113">
        <f t="shared" si="17"/>
        <v>-394.68890567918316</v>
      </c>
      <c r="I231" s="114">
        <f t="shared" si="18"/>
        <v>-26.935837885311638</v>
      </c>
      <c r="J231" s="115">
        <f t="shared" si="15"/>
        <v>-367.75306779387154</v>
      </c>
      <c r="K231" s="115">
        <f t="shared" si="19"/>
        <v>6096.8480246809222</v>
      </c>
    </row>
    <row r="232" spans="7:11" x14ac:dyDescent="0.3">
      <c r="G232" s="153">
        <f t="shared" si="16"/>
        <v>225</v>
      </c>
      <c r="H232" s="113">
        <f t="shared" si="17"/>
        <v>-394.68890567918316</v>
      </c>
      <c r="I232" s="114">
        <f t="shared" si="18"/>
        <v>-25.403533436170509</v>
      </c>
      <c r="J232" s="115">
        <f t="shared" si="15"/>
        <v>-369.28537224301266</v>
      </c>
      <c r="K232" s="115">
        <f t="shared" si="19"/>
        <v>5727.5626524379095</v>
      </c>
    </row>
    <row r="233" spans="7:11" x14ac:dyDescent="0.3">
      <c r="G233" s="153">
        <f t="shared" si="16"/>
        <v>226</v>
      </c>
      <c r="H233" s="113">
        <f t="shared" si="17"/>
        <v>-394.68890567918316</v>
      </c>
      <c r="I233" s="114">
        <f t="shared" si="18"/>
        <v>-23.864844385157955</v>
      </c>
      <c r="J233" s="115">
        <f t="shared" si="15"/>
        <v>-370.82406129402523</v>
      </c>
      <c r="K233" s="115">
        <f t="shared" si="19"/>
        <v>5356.7385911438842</v>
      </c>
    </row>
    <row r="234" spans="7:11" x14ac:dyDescent="0.3">
      <c r="G234" s="153">
        <f t="shared" si="16"/>
        <v>227</v>
      </c>
      <c r="H234" s="113">
        <f t="shared" si="17"/>
        <v>-394.68890567918316</v>
      </c>
      <c r="I234" s="114">
        <f t="shared" si="18"/>
        <v>-22.319744129766185</v>
      </c>
      <c r="J234" s="115">
        <f t="shared" si="15"/>
        <v>-372.36916154941696</v>
      </c>
      <c r="K234" s="115">
        <f t="shared" si="19"/>
        <v>4984.369429594467</v>
      </c>
    </row>
    <row r="235" spans="7:11" x14ac:dyDescent="0.3">
      <c r="G235" s="153">
        <f t="shared" si="16"/>
        <v>228</v>
      </c>
      <c r="H235" s="113">
        <f t="shared" si="17"/>
        <v>-394.68890567918316</v>
      </c>
      <c r="I235" s="114">
        <f t="shared" si="18"/>
        <v>-20.768205956643612</v>
      </c>
      <c r="J235" s="115">
        <f t="shared" si="15"/>
        <v>-373.92069972253955</v>
      </c>
      <c r="K235" s="115">
        <f t="shared" si="19"/>
        <v>4610.4487298719278</v>
      </c>
    </row>
    <row r="236" spans="7:11" x14ac:dyDescent="0.3">
      <c r="G236" s="153">
        <f t="shared" si="16"/>
        <v>229</v>
      </c>
      <c r="H236" s="113">
        <f t="shared" si="17"/>
        <v>-394.68890567918316</v>
      </c>
      <c r="I236" s="114">
        <f t="shared" si="18"/>
        <v>-19.210203041133031</v>
      </c>
      <c r="J236" s="115">
        <f t="shared" si="15"/>
        <v>-375.47870263805015</v>
      </c>
      <c r="K236" s="115">
        <f t="shared" si="19"/>
        <v>4234.9700272338778</v>
      </c>
    </row>
    <row r="237" spans="7:11" x14ac:dyDescent="0.3">
      <c r="G237" s="153">
        <f t="shared" si="16"/>
        <v>230</v>
      </c>
      <c r="H237" s="113">
        <f t="shared" si="17"/>
        <v>-394.68890567918316</v>
      </c>
      <c r="I237" s="114">
        <f t="shared" si="18"/>
        <v>-17.645708446807824</v>
      </c>
      <c r="J237" s="115">
        <f t="shared" si="15"/>
        <v>-377.04319723237535</v>
      </c>
      <c r="K237" s="115">
        <f t="shared" si="19"/>
        <v>3857.9268300015024</v>
      </c>
    </row>
    <row r="238" spans="7:11" x14ac:dyDescent="0.3">
      <c r="G238" s="153">
        <f t="shared" si="16"/>
        <v>231</v>
      </c>
      <c r="H238" s="113">
        <f t="shared" si="17"/>
        <v>-394.68890567918316</v>
      </c>
      <c r="I238" s="114">
        <f t="shared" si="18"/>
        <v>-16.074695125006258</v>
      </c>
      <c r="J238" s="115">
        <f t="shared" si="15"/>
        <v>-378.61421055417691</v>
      </c>
      <c r="K238" s="115">
        <f t="shared" si="19"/>
        <v>3479.3126194473252</v>
      </c>
    </row>
    <row r="239" spans="7:11" x14ac:dyDescent="0.3">
      <c r="G239" s="153">
        <f t="shared" si="16"/>
        <v>232</v>
      </c>
      <c r="H239" s="113">
        <f t="shared" si="17"/>
        <v>-394.68890567918316</v>
      </c>
      <c r="I239" s="114">
        <f t="shared" si="18"/>
        <v>-14.497135914363854</v>
      </c>
      <c r="J239" s="115">
        <f t="shared" si="15"/>
        <v>-380.1917697648193</v>
      </c>
      <c r="K239" s="115">
        <f t="shared" si="19"/>
        <v>3099.1208496825061</v>
      </c>
    </row>
    <row r="240" spans="7:11" x14ac:dyDescent="0.3">
      <c r="G240" s="153">
        <f t="shared" si="16"/>
        <v>233</v>
      </c>
      <c r="H240" s="113">
        <f t="shared" si="17"/>
        <v>-394.68890567918316</v>
      </c>
      <c r="I240" s="114">
        <f t="shared" si="18"/>
        <v>-12.913003540343775</v>
      </c>
      <c r="J240" s="115">
        <f t="shared" si="15"/>
        <v>-381.7759021388394</v>
      </c>
      <c r="K240" s="115">
        <f t="shared" si="19"/>
        <v>2717.3449475436669</v>
      </c>
    </row>
    <row r="241" spans="5:11" x14ac:dyDescent="0.3">
      <c r="G241" s="153">
        <f t="shared" si="16"/>
        <v>234</v>
      </c>
      <c r="H241" s="113">
        <f t="shared" si="17"/>
        <v>-394.68890567918316</v>
      </c>
      <c r="I241" s="114">
        <f t="shared" si="18"/>
        <v>-11.322270614765278</v>
      </c>
      <c r="J241" s="115">
        <f t="shared" si="15"/>
        <v>-383.36663506441789</v>
      </c>
      <c r="K241" s="115">
        <f t="shared" si="19"/>
        <v>2333.9783124792489</v>
      </c>
    </row>
    <row r="242" spans="5:11" x14ac:dyDescent="0.3">
      <c r="G242" s="153">
        <f t="shared" si="16"/>
        <v>235</v>
      </c>
      <c r="H242" s="113">
        <f t="shared" si="17"/>
        <v>-394.68890567918316</v>
      </c>
      <c r="I242" s="114">
        <f t="shared" si="18"/>
        <v>-9.7249096353302029</v>
      </c>
      <c r="J242" s="115">
        <f t="shared" si="15"/>
        <v>-384.96399604385294</v>
      </c>
      <c r="K242" s="115">
        <f t="shared" si="19"/>
        <v>1949.0143164353958</v>
      </c>
    </row>
    <row r="243" spans="5:11" x14ac:dyDescent="0.3">
      <c r="G243" s="153">
        <f t="shared" si="16"/>
        <v>236</v>
      </c>
      <c r="H243" s="113">
        <f t="shared" si="17"/>
        <v>-394.68890567918316</v>
      </c>
      <c r="I243" s="114">
        <f t="shared" si="18"/>
        <v>-8.1208929851474831</v>
      </c>
      <c r="J243" s="115">
        <f t="shared" si="15"/>
        <v>-386.5680126940357</v>
      </c>
      <c r="K243" s="115">
        <f t="shared" si="19"/>
        <v>1562.4463037413602</v>
      </c>
    </row>
    <row r="244" spans="5:11" x14ac:dyDescent="0.3">
      <c r="G244" s="153">
        <f t="shared" si="16"/>
        <v>237</v>
      </c>
      <c r="H244" s="113">
        <f t="shared" si="17"/>
        <v>-394.68890567918316</v>
      </c>
      <c r="I244" s="114">
        <f t="shared" si="18"/>
        <v>-6.5101929322556673</v>
      </c>
      <c r="J244" s="115">
        <f t="shared" si="15"/>
        <v>-388.17871274692749</v>
      </c>
      <c r="K244" s="115">
        <f t="shared" si="19"/>
        <v>1174.2675909944328</v>
      </c>
    </row>
    <row r="245" spans="5:11" x14ac:dyDescent="0.3">
      <c r="G245" s="153">
        <f t="shared" si="16"/>
        <v>238</v>
      </c>
      <c r="H245" s="113">
        <f t="shared" si="17"/>
        <v>-394.68890567918316</v>
      </c>
      <c r="I245" s="114">
        <f t="shared" si="18"/>
        <v>-4.89278162914347</v>
      </c>
      <c r="J245" s="115">
        <f t="shared" si="15"/>
        <v>-389.79612405003968</v>
      </c>
      <c r="K245" s="115">
        <f t="shared" si="19"/>
        <v>784.47146694439311</v>
      </c>
    </row>
    <row r="246" spans="5:11" x14ac:dyDescent="0.3">
      <c r="G246" s="153">
        <f t="shared" si="16"/>
        <v>239</v>
      </c>
      <c r="H246" s="113">
        <f t="shared" si="17"/>
        <v>-394.68890567918316</v>
      </c>
      <c r="I246" s="114">
        <f t="shared" si="18"/>
        <v>-3.2686311122683045</v>
      </c>
      <c r="J246" s="115">
        <f t="shared" si="15"/>
        <v>-391.42027456691488</v>
      </c>
      <c r="K246" s="115">
        <f t="shared" si="19"/>
        <v>393.05119237747823</v>
      </c>
    </row>
    <row r="247" spans="5:11" x14ac:dyDescent="0.3">
      <c r="E247" t="s">
        <v>124</v>
      </c>
      <c r="G247" s="153">
        <f t="shared" si="16"/>
        <v>240</v>
      </c>
      <c r="H247" s="113">
        <f t="shared" si="17"/>
        <v>-394.68890567918316</v>
      </c>
      <c r="I247" s="114">
        <f t="shared" si="18"/>
        <v>-1.637713301572826</v>
      </c>
      <c r="J247" s="115">
        <f t="shared" si="15"/>
        <v>-393.05119237761033</v>
      </c>
      <c r="K247" s="115">
        <f t="shared" si="19"/>
        <v>-1.3210410543251783E-10</v>
      </c>
    </row>
    <row r="248" spans="5:11" x14ac:dyDescent="0.3">
      <c r="G248" s="131"/>
    </row>
    <row r="249" spans="5:11" x14ac:dyDescent="0.3">
      <c r="G249" s="131"/>
    </row>
    <row r="250" spans="5:11" x14ac:dyDescent="0.3">
      <c r="G250" s="131"/>
    </row>
    <row r="251" spans="5:11" x14ac:dyDescent="0.3">
      <c r="G251" s="131"/>
    </row>
    <row r="252" spans="5:11" x14ac:dyDescent="0.3">
      <c r="G252" s="131"/>
    </row>
    <row r="253" spans="5:11" x14ac:dyDescent="0.3">
      <c r="G253" s="131"/>
    </row>
    <row r="254" spans="5:11" x14ac:dyDescent="0.3">
      <c r="G254" s="131"/>
    </row>
    <row r="255" spans="5:11" x14ac:dyDescent="0.3">
      <c r="G255" s="131"/>
    </row>
    <row r="256" spans="5:11" x14ac:dyDescent="0.3">
      <c r="G256" s="131"/>
    </row>
    <row r="257" spans="7:7" x14ac:dyDescent="0.3">
      <c r="G257" s="131"/>
    </row>
    <row r="258" spans="7:7" x14ac:dyDescent="0.3">
      <c r="G258" s="131"/>
    </row>
    <row r="259" spans="7:7" x14ac:dyDescent="0.3">
      <c r="G259" s="131"/>
    </row>
    <row r="260" spans="7:7" x14ac:dyDescent="0.3">
      <c r="G260" s="131"/>
    </row>
    <row r="261" spans="7:7" x14ac:dyDescent="0.3">
      <c r="G261" s="131"/>
    </row>
    <row r="262" spans="7:7" x14ac:dyDescent="0.3">
      <c r="G262" s="131"/>
    </row>
    <row r="263" spans="7:7" x14ac:dyDescent="0.3">
      <c r="G263" s="131"/>
    </row>
    <row r="264" spans="7:7" x14ac:dyDescent="0.3">
      <c r="G264" s="131"/>
    </row>
    <row r="265" spans="7:7" x14ac:dyDescent="0.3">
      <c r="G265" s="131"/>
    </row>
    <row r="266" spans="7:7" x14ac:dyDescent="0.3">
      <c r="G266" s="131"/>
    </row>
    <row r="267" spans="7:7" x14ac:dyDescent="0.3">
      <c r="G267" s="131"/>
    </row>
    <row r="268" spans="7:7" x14ac:dyDescent="0.3">
      <c r="G268" s="131"/>
    </row>
    <row r="269" spans="7:7" x14ac:dyDescent="0.3">
      <c r="G269" s="131"/>
    </row>
    <row r="270" spans="7:7" x14ac:dyDescent="0.3">
      <c r="G270" s="131"/>
    </row>
    <row r="271" spans="7:7" x14ac:dyDescent="0.3">
      <c r="G271" s="131"/>
    </row>
    <row r="272" spans="7:7" x14ac:dyDescent="0.3">
      <c r="G272" s="131"/>
    </row>
    <row r="273" spans="7:11" x14ac:dyDescent="0.3">
      <c r="G273" s="131"/>
    </row>
    <row r="274" spans="7:11" x14ac:dyDescent="0.3">
      <c r="G274" s="131"/>
    </row>
    <row r="275" spans="7:11" x14ac:dyDescent="0.3">
      <c r="G275" s="131"/>
    </row>
    <row r="276" spans="7:11" x14ac:dyDescent="0.3">
      <c r="G276" s="131"/>
    </row>
    <row r="277" spans="7:11" x14ac:dyDescent="0.3">
      <c r="G277" s="131"/>
    </row>
    <row r="278" spans="7:11" x14ac:dyDescent="0.3">
      <c r="G278" s="131"/>
    </row>
    <row r="279" spans="7:11" x14ac:dyDescent="0.3">
      <c r="G279" s="131"/>
    </row>
    <row r="280" spans="7:11" x14ac:dyDescent="0.3">
      <c r="G280" s="131"/>
    </row>
    <row r="281" spans="7:11" x14ac:dyDescent="0.3">
      <c r="G281" s="131"/>
    </row>
    <row r="282" spans="7:11" x14ac:dyDescent="0.3">
      <c r="G282" s="131"/>
    </row>
    <row r="283" spans="7:11" x14ac:dyDescent="0.3">
      <c r="G283" s="131"/>
    </row>
    <row r="284" spans="7:11" x14ac:dyDescent="0.3">
      <c r="G284" s="131"/>
    </row>
    <row r="285" spans="7:11" x14ac:dyDescent="0.3">
      <c r="G285" s="131"/>
      <c r="H285" s="17"/>
      <c r="I285" s="18"/>
      <c r="J285" s="19"/>
      <c r="K285" s="19"/>
    </row>
    <row r="286" spans="7:11" x14ac:dyDescent="0.3">
      <c r="G286" s="131"/>
      <c r="H286" s="17"/>
      <c r="I286" s="18"/>
      <c r="J286" s="19"/>
      <c r="K286" s="19"/>
    </row>
    <row r="287" spans="7:11" x14ac:dyDescent="0.3">
      <c r="G287" s="131"/>
      <c r="H287" s="17"/>
      <c r="I287" s="18"/>
      <c r="J287" s="19"/>
      <c r="K287" s="19"/>
    </row>
    <row r="288" spans="7:11" x14ac:dyDescent="0.3">
      <c r="G288" s="131"/>
      <c r="H288" s="17"/>
      <c r="I288" s="18"/>
      <c r="J288" s="19"/>
      <c r="K288" s="19"/>
    </row>
    <row r="289" spans="8:11" x14ac:dyDescent="0.3">
      <c r="H289" s="17"/>
      <c r="I289" s="18"/>
      <c r="J289" s="19"/>
      <c r="K289" s="19"/>
    </row>
    <row r="290" spans="8:11" x14ac:dyDescent="0.3">
      <c r="H290" s="17"/>
      <c r="I290" s="18"/>
      <c r="J290" s="19"/>
      <c r="K290" s="19"/>
    </row>
    <row r="291" spans="8:11" x14ac:dyDescent="0.3">
      <c r="H291" s="17"/>
      <c r="I291" s="18"/>
      <c r="J291" s="19"/>
      <c r="K291" s="19"/>
    </row>
    <row r="292" spans="8:11" x14ac:dyDescent="0.3">
      <c r="H292" s="17"/>
      <c r="I292" s="18"/>
      <c r="J292" s="19"/>
      <c r="K292" s="19"/>
    </row>
    <row r="293" spans="8:11" x14ac:dyDescent="0.3">
      <c r="H293" s="17"/>
      <c r="I293" s="18"/>
      <c r="J293" s="19"/>
      <c r="K293" s="19"/>
    </row>
    <row r="294" spans="8:11" x14ac:dyDescent="0.3">
      <c r="H294" s="17"/>
      <c r="I294" s="18"/>
      <c r="J294" s="19"/>
      <c r="K294" s="19"/>
    </row>
    <row r="295" spans="8:11" x14ac:dyDescent="0.3">
      <c r="H295" s="17"/>
      <c r="I295" s="18"/>
      <c r="J295" s="19"/>
      <c r="K295" s="19"/>
    </row>
    <row r="296" spans="8:11" x14ac:dyDescent="0.3">
      <c r="H296" s="17"/>
      <c r="I296" s="18"/>
      <c r="J296" s="19"/>
      <c r="K296" s="19"/>
    </row>
    <row r="297" spans="8:11" x14ac:dyDescent="0.3">
      <c r="H297" s="17"/>
      <c r="I297" s="18"/>
      <c r="J297" s="19"/>
      <c r="K297" s="19"/>
    </row>
    <row r="298" spans="8:11" x14ac:dyDescent="0.3">
      <c r="H298" s="17"/>
      <c r="I298" s="18"/>
      <c r="J298" s="19"/>
      <c r="K298" s="19"/>
    </row>
    <row r="299" spans="8:11" x14ac:dyDescent="0.3">
      <c r="H299" s="17"/>
      <c r="I299" s="18"/>
      <c r="J299" s="19"/>
      <c r="K299" s="19"/>
    </row>
    <row r="300" spans="8:11" x14ac:dyDescent="0.3">
      <c r="H300" s="17"/>
      <c r="I300" s="18"/>
      <c r="J300" s="19"/>
      <c r="K300" s="19"/>
    </row>
    <row r="301" spans="8:11" x14ac:dyDescent="0.3">
      <c r="H301" s="17"/>
      <c r="I301" s="18"/>
      <c r="J301" s="19"/>
      <c r="K301" s="19"/>
    </row>
    <row r="302" spans="8:11" x14ac:dyDescent="0.3">
      <c r="H302" s="17"/>
      <c r="I302" s="18"/>
      <c r="J302" s="19"/>
      <c r="K302" s="19"/>
    </row>
    <row r="303" spans="8:11" x14ac:dyDescent="0.3">
      <c r="H303" s="17"/>
      <c r="I303" s="18"/>
      <c r="J303" s="19"/>
      <c r="K303" s="19"/>
    </row>
    <row r="304" spans="8:11" x14ac:dyDescent="0.3">
      <c r="H304" s="17"/>
      <c r="I304" s="18"/>
      <c r="J304" s="19"/>
      <c r="K304" s="19"/>
    </row>
    <row r="305" spans="8:11" x14ac:dyDescent="0.3">
      <c r="H305" s="17"/>
      <c r="I305" s="18"/>
      <c r="J305" s="19"/>
      <c r="K305" s="19"/>
    </row>
    <row r="306" spans="8:11" x14ac:dyDescent="0.3">
      <c r="H306" s="17"/>
      <c r="I306" s="18"/>
      <c r="J306" s="19"/>
      <c r="K306" s="19"/>
    </row>
    <row r="307" spans="8:11" x14ac:dyDescent="0.3">
      <c r="H307" s="17"/>
      <c r="I307" s="18"/>
      <c r="J307" s="19"/>
      <c r="K307" s="19"/>
    </row>
    <row r="308" spans="8:11" x14ac:dyDescent="0.3">
      <c r="H308" s="17"/>
      <c r="I308" s="18"/>
      <c r="J308" s="19"/>
      <c r="K308" s="19"/>
    </row>
    <row r="309" spans="8:11" x14ac:dyDescent="0.3">
      <c r="H309" s="17"/>
      <c r="I309" s="18"/>
      <c r="J309" s="19"/>
      <c r="K309" s="19"/>
    </row>
    <row r="310" spans="8:11" x14ac:dyDescent="0.3">
      <c r="H310" s="17"/>
      <c r="I310" s="18"/>
      <c r="J310" s="19"/>
      <c r="K310" s="19"/>
    </row>
    <row r="311" spans="8:11" x14ac:dyDescent="0.3">
      <c r="H311" s="17"/>
      <c r="I311" s="18"/>
      <c r="J311" s="19"/>
      <c r="K311" s="19"/>
    </row>
    <row r="312" spans="8:11" x14ac:dyDescent="0.3">
      <c r="H312" s="17"/>
      <c r="I312" s="18"/>
      <c r="J312" s="19"/>
      <c r="K312" s="19"/>
    </row>
    <row r="313" spans="8:11" x14ac:dyDescent="0.3">
      <c r="H313" s="17"/>
      <c r="I313" s="18"/>
      <c r="J313" s="19"/>
      <c r="K313" s="19"/>
    </row>
    <row r="314" spans="8:11" x14ac:dyDescent="0.3">
      <c r="H314" s="17"/>
      <c r="I314" s="18"/>
      <c r="J314" s="19"/>
      <c r="K314" s="19"/>
    </row>
    <row r="315" spans="8:11" x14ac:dyDescent="0.3">
      <c r="H315" s="17"/>
      <c r="I315" s="18"/>
      <c r="J315" s="19"/>
      <c r="K315" s="19"/>
    </row>
    <row r="316" spans="8:11" x14ac:dyDescent="0.3">
      <c r="H316" s="17"/>
      <c r="I316" s="18"/>
      <c r="J316" s="19"/>
      <c r="K316" s="19"/>
    </row>
    <row r="317" spans="8:11" x14ac:dyDescent="0.3">
      <c r="H317" s="17"/>
      <c r="I317" s="18"/>
      <c r="J317" s="19"/>
      <c r="K317" s="19"/>
    </row>
    <row r="318" spans="8:11" x14ac:dyDescent="0.3">
      <c r="H318" s="17"/>
      <c r="I318" s="18"/>
      <c r="J318" s="19"/>
      <c r="K318" s="19"/>
    </row>
    <row r="319" spans="8:11" x14ac:dyDescent="0.3">
      <c r="H319" s="17"/>
      <c r="I319" s="18"/>
      <c r="J319" s="19"/>
      <c r="K319" s="19"/>
    </row>
    <row r="320" spans="8:11" x14ac:dyDescent="0.3">
      <c r="H320" s="17"/>
      <c r="I320" s="18"/>
      <c r="J320" s="19"/>
      <c r="K320" s="19"/>
    </row>
    <row r="321" spans="8:11" x14ac:dyDescent="0.3">
      <c r="H321" s="17"/>
      <c r="I321" s="18"/>
      <c r="J321" s="19"/>
      <c r="K321" s="19"/>
    </row>
    <row r="322" spans="8:11" x14ac:dyDescent="0.3">
      <c r="H322" s="17"/>
      <c r="I322" s="18"/>
      <c r="J322" s="19"/>
      <c r="K322" s="19"/>
    </row>
    <row r="323" spans="8:11" x14ac:dyDescent="0.3">
      <c r="H323" s="17"/>
      <c r="I323" s="18"/>
      <c r="J323" s="19"/>
      <c r="K323" s="19"/>
    </row>
    <row r="324" spans="8:11" x14ac:dyDescent="0.3">
      <c r="H324" s="17"/>
      <c r="I324" s="18"/>
      <c r="J324" s="19"/>
      <c r="K324" s="19"/>
    </row>
    <row r="325" spans="8:11" x14ac:dyDescent="0.3">
      <c r="H325" s="17"/>
      <c r="I325" s="18"/>
      <c r="J325" s="19"/>
      <c r="K325" s="19"/>
    </row>
    <row r="326" spans="8:11" x14ac:dyDescent="0.3">
      <c r="H326" s="17"/>
      <c r="I326" s="18"/>
      <c r="J326" s="19"/>
      <c r="K326" s="19"/>
    </row>
    <row r="327" spans="8:11" x14ac:dyDescent="0.3">
      <c r="H327" s="17"/>
      <c r="I327" s="18"/>
      <c r="J327" s="19"/>
      <c r="K327" s="19"/>
    </row>
    <row r="328" spans="8:11" x14ac:dyDescent="0.3">
      <c r="H328" s="17"/>
      <c r="I328" s="18"/>
      <c r="J328" s="19"/>
      <c r="K328" s="19"/>
    </row>
    <row r="329" spans="8:11" x14ac:dyDescent="0.3">
      <c r="H329" s="17"/>
      <c r="I329" s="18"/>
      <c r="J329" s="19"/>
      <c r="K329" s="19"/>
    </row>
    <row r="330" spans="8:11" x14ac:dyDescent="0.3">
      <c r="H330" s="17"/>
      <c r="I330" s="18"/>
      <c r="J330" s="19"/>
      <c r="K330" s="19"/>
    </row>
    <row r="331" spans="8:11" x14ac:dyDescent="0.3">
      <c r="H331" s="17"/>
      <c r="I331" s="18"/>
      <c r="J331" s="19"/>
      <c r="K331" s="19"/>
    </row>
    <row r="332" spans="8:11" x14ac:dyDescent="0.3">
      <c r="H332" s="17"/>
      <c r="I332" s="18"/>
      <c r="J332" s="19"/>
      <c r="K332" s="19"/>
    </row>
    <row r="333" spans="8:11" x14ac:dyDescent="0.3">
      <c r="H333" s="17"/>
      <c r="I333" s="18"/>
      <c r="J333" s="19"/>
      <c r="K333" s="19"/>
    </row>
    <row r="334" spans="8:11" x14ac:dyDescent="0.3">
      <c r="H334" s="17"/>
      <c r="I334" s="18"/>
      <c r="J334" s="19"/>
      <c r="K334" s="19"/>
    </row>
    <row r="335" spans="8:11" x14ac:dyDescent="0.3">
      <c r="H335" s="17"/>
      <c r="I335" s="18"/>
      <c r="J335" s="19"/>
      <c r="K335" s="19"/>
    </row>
    <row r="336" spans="8:11" x14ac:dyDescent="0.3">
      <c r="H336" s="17"/>
      <c r="I336" s="18"/>
      <c r="J336" s="19"/>
      <c r="K336" s="19"/>
    </row>
    <row r="337" spans="8:11" x14ac:dyDescent="0.3">
      <c r="H337" s="17"/>
      <c r="I337" s="18"/>
      <c r="J337" s="19"/>
      <c r="K337" s="19"/>
    </row>
    <row r="338" spans="8:11" x14ac:dyDescent="0.3">
      <c r="H338" s="17"/>
      <c r="I338" s="18"/>
      <c r="J338" s="19"/>
      <c r="K338" s="19"/>
    </row>
    <row r="339" spans="8:11" x14ac:dyDescent="0.3">
      <c r="H339" s="17"/>
      <c r="I339" s="18"/>
      <c r="J339" s="19"/>
      <c r="K339" s="19"/>
    </row>
    <row r="340" spans="8:11" x14ac:dyDescent="0.3">
      <c r="H340" s="17"/>
      <c r="I340" s="18"/>
      <c r="J340" s="19"/>
      <c r="K340" s="19"/>
    </row>
    <row r="341" spans="8:11" x14ac:dyDescent="0.3">
      <c r="H341" s="17"/>
      <c r="I341" s="18"/>
      <c r="J341" s="19"/>
      <c r="K341" s="19"/>
    </row>
    <row r="342" spans="8:11" x14ac:dyDescent="0.3">
      <c r="H342" s="17"/>
      <c r="I342" s="18"/>
      <c r="J342" s="19"/>
      <c r="K342" s="19"/>
    </row>
    <row r="343" spans="8:11" x14ac:dyDescent="0.3">
      <c r="H343" s="17"/>
      <c r="I343" s="18"/>
      <c r="J343" s="19"/>
      <c r="K343" s="19"/>
    </row>
    <row r="344" spans="8:11" x14ac:dyDescent="0.3">
      <c r="H344" s="17"/>
      <c r="I344" s="18"/>
      <c r="J344" s="19"/>
      <c r="K344" s="19"/>
    </row>
    <row r="345" spans="8:11" x14ac:dyDescent="0.3">
      <c r="H345" s="17"/>
      <c r="I345" s="18"/>
      <c r="J345" s="19"/>
      <c r="K345" s="19"/>
    </row>
    <row r="346" spans="8:11" x14ac:dyDescent="0.3">
      <c r="H346" s="17"/>
      <c r="I346" s="18"/>
      <c r="J346" s="19"/>
      <c r="K346" s="19"/>
    </row>
    <row r="347" spans="8:11" x14ac:dyDescent="0.3">
      <c r="H347" s="17"/>
      <c r="I347" s="18"/>
      <c r="J347" s="19"/>
      <c r="K347" s="19"/>
    </row>
    <row r="348" spans="8:11" x14ac:dyDescent="0.3">
      <c r="H348" s="17"/>
      <c r="I348" s="18"/>
      <c r="J348" s="19"/>
      <c r="K348" s="19"/>
    </row>
    <row r="349" spans="8:11" x14ac:dyDescent="0.3">
      <c r="H349" s="17"/>
      <c r="I349" s="18"/>
      <c r="J349" s="19"/>
      <c r="K349" s="19"/>
    </row>
    <row r="350" spans="8:11" x14ac:dyDescent="0.3">
      <c r="H350" s="17"/>
      <c r="I350" s="18"/>
      <c r="J350" s="19"/>
      <c r="K350" s="19"/>
    </row>
    <row r="351" spans="8:11" x14ac:dyDescent="0.3">
      <c r="H351" s="17"/>
      <c r="I351" s="18"/>
      <c r="J351" s="19"/>
      <c r="K351" s="19"/>
    </row>
    <row r="352" spans="8:11" x14ac:dyDescent="0.3">
      <c r="H352" s="17"/>
      <c r="I352" s="18"/>
      <c r="J352" s="19"/>
      <c r="K352" s="19"/>
    </row>
    <row r="353" spans="8:11" x14ac:dyDescent="0.3">
      <c r="H353" s="17"/>
      <c r="I353" s="18"/>
      <c r="J353" s="19"/>
      <c r="K353" s="19"/>
    </row>
    <row r="354" spans="8:11" x14ac:dyDescent="0.3">
      <c r="H354" s="17"/>
      <c r="I354" s="18"/>
      <c r="J354" s="19"/>
      <c r="K354" s="19"/>
    </row>
    <row r="355" spans="8:11" x14ac:dyDescent="0.3">
      <c r="H355" s="17"/>
      <c r="I355" s="18"/>
      <c r="J355" s="19"/>
      <c r="K355" s="19"/>
    </row>
    <row r="356" spans="8:11" x14ac:dyDescent="0.3">
      <c r="H356" s="17"/>
      <c r="I356" s="18"/>
      <c r="J356" s="19"/>
      <c r="K356" s="19"/>
    </row>
    <row r="357" spans="8:11" x14ac:dyDescent="0.3">
      <c r="H357" s="17"/>
      <c r="I357" s="18"/>
      <c r="J357" s="19"/>
      <c r="K357" s="19"/>
    </row>
    <row r="358" spans="8:11" x14ac:dyDescent="0.3">
      <c r="H358" s="17"/>
      <c r="I358" s="18"/>
      <c r="J358" s="19"/>
      <c r="K358" s="19"/>
    </row>
    <row r="359" spans="8:11" x14ac:dyDescent="0.3">
      <c r="H359" s="17"/>
      <c r="I359" s="18"/>
      <c r="J359" s="19"/>
      <c r="K359" s="19"/>
    </row>
    <row r="360" spans="8:11" x14ac:dyDescent="0.3">
      <c r="H360" s="17"/>
      <c r="I360" s="18"/>
      <c r="J360" s="19"/>
      <c r="K360" s="19"/>
    </row>
    <row r="361" spans="8:11" x14ac:dyDescent="0.3">
      <c r="H361" s="17"/>
      <c r="I361" s="18"/>
      <c r="J361" s="19"/>
      <c r="K361" s="19"/>
    </row>
    <row r="362" spans="8:11" x14ac:dyDescent="0.3">
      <c r="H362" s="17"/>
      <c r="I362" s="18"/>
      <c r="J362" s="19"/>
      <c r="K362" s="19"/>
    </row>
    <row r="363" spans="8:11" x14ac:dyDescent="0.3">
      <c r="H363" s="17"/>
      <c r="I363" s="18"/>
      <c r="J363" s="19"/>
      <c r="K363" s="19"/>
    </row>
    <row r="364" spans="8:11" x14ac:dyDescent="0.3">
      <c r="H364" s="17"/>
      <c r="I364" s="18"/>
      <c r="J364" s="19"/>
      <c r="K364" s="19"/>
    </row>
    <row r="365" spans="8:11" x14ac:dyDescent="0.3">
      <c r="H365" s="17"/>
      <c r="I365" s="18"/>
      <c r="J365" s="19"/>
      <c r="K365" s="19"/>
    </row>
    <row r="366" spans="8:11" x14ac:dyDescent="0.3">
      <c r="H366" s="17"/>
      <c r="I366" s="18"/>
      <c r="J366" s="19"/>
      <c r="K366" s="19"/>
    </row>
    <row r="367" spans="8:11" x14ac:dyDescent="0.3">
      <c r="H367" s="17"/>
      <c r="I367" s="18"/>
      <c r="J367" s="19"/>
      <c r="K367" s="19"/>
    </row>
    <row r="368" spans="8:11" ht="15" thickBot="1" x14ac:dyDescent="0.35">
      <c r="H368" s="22">
        <f>SUM(H7:H247)</f>
        <v>-94725.337363004161</v>
      </c>
      <c r="I368" s="22">
        <f>SUM(I7:I247)</f>
        <v>-34919.977363003891</v>
      </c>
      <c r="J368" s="23">
        <f>SUM(J7:J247)</f>
        <v>-59805.360000000073</v>
      </c>
      <c r="K368" s="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0DC53-F9BA-4993-979D-447479950673}">
  <sheetPr>
    <tabColor theme="9"/>
  </sheetPr>
  <dimension ref="A1:BL9"/>
  <sheetViews>
    <sheetView zoomScale="102" workbookViewId="0">
      <selection activeCell="O9" sqref="O9"/>
    </sheetView>
  </sheetViews>
  <sheetFormatPr baseColWidth="10" defaultRowHeight="14.4" x14ac:dyDescent="0.3"/>
  <cols>
    <col min="3" max="3" width="14" bestFit="1" customWidth="1"/>
    <col min="4" max="4" width="6.6640625" bestFit="1" customWidth="1"/>
    <col min="5" max="5" width="6.77734375" bestFit="1" customWidth="1"/>
    <col min="6" max="6" width="7.21875" bestFit="1" customWidth="1"/>
    <col min="7" max="7" width="6.77734375" bestFit="1" customWidth="1"/>
    <col min="8" max="8" width="7.44140625" bestFit="1" customWidth="1"/>
    <col min="9" max="10" width="6.77734375" bestFit="1" customWidth="1"/>
    <col min="11" max="11" width="6.88671875" bestFit="1" customWidth="1"/>
    <col min="12" max="12" width="7.44140625" bestFit="1" customWidth="1"/>
    <col min="13" max="13" width="6.77734375" bestFit="1" customWidth="1"/>
    <col min="14" max="14" width="7" bestFit="1" customWidth="1"/>
    <col min="15" max="15" width="6.77734375" bestFit="1" customWidth="1"/>
    <col min="16" max="16" width="6.88671875" bestFit="1" customWidth="1"/>
    <col min="17" max="17" width="6.77734375" bestFit="1" customWidth="1"/>
    <col min="18" max="18" width="7.21875" bestFit="1" customWidth="1"/>
    <col min="19" max="19" width="6.77734375" bestFit="1" customWidth="1"/>
    <col min="20" max="20" width="7.44140625" bestFit="1" customWidth="1"/>
    <col min="21" max="22" width="6.77734375" bestFit="1" customWidth="1"/>
    <col min="23" max="23" width="6.88671875" bestFit="1" customWidth="1"/>
    <col min="24" max="24" width="7.44140625" bestFit="1" customWidth="1"/>
    <col min="25" max="25" width="6.77734375" bestFit="1" customWidth="1"/>
    <col min="26" max="26" width="7" bestFit="1" customWidth="1"/>
    <col min="27" max="27" width="6.77734375" bestFit="1" customWidth="1"/>
    <col min="28" max="63" width="7.88671875" bestFit="1" customWidth="1"/>
  </cols>
  <sheetData>
    <row r="1" spans="1:64" x14ac:dyDescent="0.3">
      <c r="A1" t="s">
        <v>101</v>
      </c>
      <c r="B1" s="13">
        <v>0.06</v>
      </c>
    </row>
    <row r="2" spans="1:64" x14ac:dyDescent="0.3">
      <c r="A2" t="s">
        <v>102</v>
      </c>
      <c r="B2" s="4">
        <f>'Flujo 5 años C20'!N30</f>
        <v>4500</v>
      </c>
      <c r="D2" s="130">
        <v>46023</v>
      </c>
      <c r="E2" s="130">
        <v>46054</v>
      </c>
      <c r="F2" s="130">
        <v>46082</v>
      </c>
      <c r="G2" s="130">
        <v>46113</v>
      </c>
      <c r="H2" s="130">
        <v>46143</v>
      </c>
      <c r="I2" s="130">
        <v>46174</v>
      </c>
      <c r="J2" s="130">
        <v>46204</v>
      </c>
      <c r="K2" s="130">
        <v>46235</v>
      </c>
      <c r="L2" s="130">
        <v>46266</v>
      </c>
      <c r="M2" s="130">
        <v>46296</v>
      </c>
      <c r="N2" s="130">
        <v>46327</v>
      </c>
      <c r="O2" s="130">
        <v>46357</v>
      </c>
      <c r="P2" s="130">
        <v>46388</v>
      </c>
      <c r="Q2" s="130">
        <v>46419</v>
      </c>
      <c r="R2" s="130">
        <v>46447</v>
      </c>
      <c r="S2" s="130">
        <v>46478</v>
      </c>
      <c r="T2" s="130">
        <v>46508</v>
      </c>
      <c r="U2" s="130">
        <v>46539</v>
      </c>
      <c r="V2" s="130">
        <v>46569</v>
      </c>
      <c r="W2" s="130">
        <v>46600</v>
      </c>
      <c r="X2" s="130">
        <v>46631</v>
      </c>
      <c r="Y2" s="130">
        <v>46661</v>
      </c>
      <c r="Z2" s="130">
        <v>46692</v>
      </c>
      <c r="AA2" s="130">
        <v>46722</v>
      </c>
      <c r="AB2" s="130">
        <v>46753</v>
      </c>
      <c r="AC2" s="130">
        <v>46784</v>
      </c>
      <c r="AD2" s="130">
        <v>46813</v>
      </c>
      <c r="AE2" s="130">
        <v>46844</v>
      </c>
      <c r="AF2" s="130">
        <v>46874</v>
      </c>
      <c r="AG2" s="130">
        <v>46905</v>
      </c>
      <c r="AH2" s="130">
        <v>46935</v>
      </c>
      <c r="AI2" s="130">
        <v>46966</v>
      </c>
      <c r="AJ2" s="130">
        <v>46997</v>
      </c>
      <c r="AK2" s="130">
        <v>47027</v>
      </c>
      <c r="AL2" s="130">
        <v>47058</v>
      </c>
      <c r="AM2" s="130">
        <v>47088</v>
      </c>
      <c r="AN2" s="130">
        <v>47119</v>
      </c>
      <c r="AO2" s="130">
        <v>47150</v>
      </c>
      <c r="AP2" s="130">
        <v>47178</v>
      </c>
      <c r="AQ2" s="130">
        <v>47209</v>
      </c>
      <c r="AR2" s="130">
        <v>47239</v>
      </c>
      <c r="AS2" s="130">
        <v>47270</v>
      </c>
      <c r="AT2" s="130">
        <v>47300</v>
      </c>
      <c r="AU2" s="130">
        <v>47331</v>
      </c>
      <c r="AV2" s="130">
        <v>47362</v>
      </c>
      <c r="AW2" s="130">
        <v>47392</v>
      </c>
      <c r="AX2" s="130">
        <v>47423</v>
      </c>
      <c r="AY2" s="130">
        <v>47453</v>
      </c>
      <c r="AZ2" s="130">
        <v>47484</v>
      </c>
      <c r="BA2" s="130">
        <v>47515</v>
      </c>
      <c r="BB2" s="130">
        <v>47543</v>
      </c>
      <c r="BC2" s="130">
        <v>47574</v>
      </c>
      <c r="BD2" s="130">
        <v>47604</v>
      </c>
      <c r="BE2" s="130">
        <v>47635</v>
      </c>
      <c r="BF2" s="130">
        <v>47665</v>
      </c>
      <c r="BG2" s="130">
        <v>47696</v>
      </c>
      <c r="BH2" s="130">
        <v>47727</v>
      </c>
      <c r="BI2" s="130">
        <v>47757</v>
      </c>
      <c r="BJ2" s="130">
        <v>47788</v>
      </c>
      <c r="BK2" s="130">
        <v>47818</v>
      </c>
    </row>
    <row r="3" spans="1:64" x14ac:dyDescent="0.3">
      <c r="A3" t="s">
        <v>103</v>
      </c>
      <c r="B3" s="4"/>
      <c r="C3" s="4"/>
      <c r="D3" s="4">
        <f>'Flujo 5 años C12'!E30</f>
        <v>1500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f>'Flujo 5 años C20'!H30</f>
        <v>1000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f>'Flujo 5 años C20'!I30</f>
        <v>2000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f>'Flujo 5 años C12'!J30</f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</row>
    <row r="4" spans="1:64" x14ac:dyDescent="0.3">
      <c r="B4" s="4"/>
      <c r="C4" s="4" t="s">
        <v>105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</row>
    <row r="5" spans="1:64" x14ac:dyDescent="0.3">
      <c r="C5" t="s">
        <v>104</v>
      </c>
      <c r="D5" s="2">
        <f>D3</f>
        <v>1500</v>
      </c>
      <c r="E5" s="2">
        <f>D5+E4+E3</f>
        <v>1500</v>
      </c>
      <c r="F5" s="2">
        <f>E5+F4+F3</f>
        <v>1500</v>
      </c>
      <c r="G5" s="2">
        <f t="shared" ref="G5:BK5" si="0">F5+G4+G3</f>
        <v>1500</v>
      </c>
      <c r="H5" s="2">
        <f t="shared" si="0"/>
        <v>1500</v>
      </c>
      <c r="I5" s="2">
        <f t="shared" si="0"/>
        <v>1500</v>
      </c>
      <c r="J5" s="2">
        <f t="shared" si="0"/>
        <v>1500</v>
      </c>
      <c r="K5" s="2">
        <f t="shared" si="0"/>
        <v>1500</v>
      </c>
      <c r="L5" s="2">
        <f t="shared" si="0"/>
        <v>1500</v>
      </c>
      <c r="M5" s="2">
        <f t="shared" si="0"/>
        <v>1500</v>
      </c>
      <c r="N5" s="2">
        <f t="shared" si="0"/>
        <v>1500</v>
      </c>
      <c r="O5" s="2">
        <f t="shared" si="0"/>
        <v>1500</v>
      </c>
      <c r="P5" s="2">
        <f t="shared" si="0"/>
        <v>1500</v>
      </c>
      <c r="Q5" s="2">
        <f t="shared" si="0"/>
        <v>1500</v>
      </c>
      <c r="R5" s="2">
        <f t="shared" si="0"/>
        <v>1500</v>
      </c>
      <c r="S5" s="2">
        <f t="shared" si="0"/>
        <v>1500</v>
      </c>
      <c r="T5" s="2">
        <f t="shared" si="0"/>
        <v>1500</v>
      </c>
      <c r="U5" s="2">
        <f t="shared" si="0"/>
        <v>1500</v>
      </c>
      <c r="V5" s="2">
        <f t="shared" si="0"/>
        <v>1500</v>
      </c>
      <c r="W5" s="2">
        <f t="shared" si="0"/>
        <v>1500</v>
      </c>
      <c r="X5" s="2">
        <f t="shared" si="0"/>
        <v>1500</v>
      </c>
      <c r="Y5" s="2">
        <f t="shared" si="0"/>
        <v>1500</v>
      </c>
      <c r="Z5" s="2">
        <f t="shared" si="0"/>
        <v>1500</v>
      </c>
      <c r="AA5" s="2">
        <f t="shared" si="0"/>
        <v>1500</v>
      </c>
      <c r="AB5" s="2">
        <f>AA5+AB4+AB3</f>
        <v>2500</v>
      </c>
      <c r="AC5" s="2">
        <f t="shared" si="0"/>
        <v>2500</v>
      </c>
      <c r="AD5" s="2">
        <f t="shared" si="0"/>
        <v>2500</v>
      </c>
      <c r="AE5" s="2">
        <f t="shared" si="0"/>
        <v>2500</v>
      </c>
      <c r="AF5" s="2">
        <f t="shared" si="0"/>
        <v>2500</v>
      </c>
      <c r="AG5" s="2">
        <f t="shared" si="0"/>
        <v>2500</v>
      </c>
      <c r="AH5" s="2">
        <f t="shared" si="0"/>
        <v>2500</v>
      </c>
      <c r="AI5" s="2">
        <f t="shared" si="0"/>
        <v>2500</v>
      </c>
      <c r="AJ5" s="2">
        <f t="shared" si="0"/>
        <v>2500</v>
      </c>
      <c r="AK5" s="2">
        <f t="shared" si="0"/>
        <v>2500</v>
      </c>
      <c r="AL5" s="2">
        <f t="shared" si="0"/>
        <v>2500</v>
      </c>
      <c r="AM5" s="2">
        <f t="shared" si="0"/>
        <v>2500</v>
      </c>
      <c r="AN5" s="2">
        <f>AM5+AN4+AN3</f>
        <v>4500</v>
      </c>
      <c r="AO5" s="2">
        <f t="shared" si="0"/>
        <v>4500</v>
      </c>
      <c r="AP5" s="2">
        <f t="shared" si="0"/>
        <v>4500</v>
      </c>
      <c r="AQ5" s="2">
        <f t="shared" si="0"/>
        <v>4500</v>
      </c>
      <c r="AR5" s="2">
        <f t="shared" si="0"/>
        <v>4500</v>
      </c>
      <c r="AS5" s="2">
        <f t="shared" si="0"/>
        <v>4500</v>
      </c>
      <c r="AT5" s="2">
        <f t="shared" si="0"/>
        <v>4500</v>
      </c>
      <c r="AU5" s="2">
        <f t="shared" si="0"/>
        <v>4500</v>
      </c>
      <c r="AV5" s="2">
        <f t="shared" si="0"/>
        <v>4500</v>
      </c>
      <c r="AW5" s="2">
        <f t="shared" si="0"/>
        <v>4500</v>
      </c>
      <c r="AX5" s="2">
        <f t="shared" si="0"/>
        <v>4500</v>
      </c>
      <c r="AY5" s="2">
        <f t="shared" si="0"/>
        <v>4500</v>
      </c>
      <c r="AZ5" s="2">
        <f t="shared" si="0"/>
        <v>4500</v>
      </c>
      <c r="BA5" s="2">
        <f t="shared" si="0"/>
        <v>4500</v>
      </c>
      <c r="BB5" s="2">
        <f t="shared" si="0"/>
        <v>4500</v>
      </c>
      <c r="BC5" s="2">
        <f t="shared" si="0"/>
        <v>4500</v>
      </c>
      <c r="BD5" s="2">
        <f t="shared" si="0"/>
        <v>4500</v>
      </c>
      <c r="BE5" s="2">
        <f t="shared" si="0"/>
        <v>4500</v>
      </c>
      <c r="BF5" s="2">
        <f t="shared" si="0"/>
        <v>4500</v>
      </c>
      <c r="BG5" s="2">
        <f t="shared" si="0"/>
        <v>4500</v>
      </c>
      <c r="BH5" s="2">
        <f t="shared" si="0"/>
        <v>4500</v>
      </c>
      <c r="BI5" s="2">
        <f t="shared" si="0"/>
        <v>4500</v>
      </c>
      <c r="BJ5" s="2">
        <f t="shared" si="0"/>
        <v>4500</v>
      </c>
      <c r="BK5" s="2">
        <f t="shared" si="0"/>
        <v>4500</v>
      </c>
    </row>
    <row r="7" spans="1:64" x14ac:dyDescent="0.3">
      <c r="E7" s="2">
        <f>D5*$B$1/12</f>
        <v>7.5</v>
      </c>
      <c r="F7" s="2">
        <f t="shared" ref="F7:BK7" si="1">E5*$B$1/12</f>
        <v>7.5</v>
      </c>
      <c r="G7" s="2">
        <f t="shared" si="1"/>
        <v>7.5</v>
      </c>
      <c r="H7" s="2">
        <f t="shared" si="1"/>
        <v>7.5</v>
      </c>
      <c r="I7" s="2">
        <f t="shared" si="1"/>
        <v>7.5</v>
      </c>
      <c r="J7" s="2">
        <f t="shared" si="1"/>
        <v>7.5</v>
      </c>
      <c r="K7" s="2">
        <f t="shared" si="1"/>
        <v>7.5</v>
      </c>
      <c r="L7" s="2">
        <f t="shared" si="1"/>
        <v>7.5</v>
      </c>
      <c r="M7" s="2">
        <f t="shared" si="1"/>
        <v>7.5</v>
      </c>
      <c r="N7" s="2">
        <f t="shared" si="1"/>
        <v>7.5</v>
      </c>
      <c r="O7" s="2">
        <f t="shared" si="1"/>
        <v>7.5</v>
      </c>
      <c r="P7" s="2">
        <f t="shared" si="1"/>
        <v>7.5</v>
      </c>
      <c r="Q7" s="2">
        <f t="shared" si="1"/>
        <v>7.5</v>
      </c>
      <c r="R7" s="2">
        <f t="shared" si="1"/>
        <v>7.5</v>
      </c>
      <c r="S7" s="2">
        <f>R5*$B$1/12</f>
        <v>7.5</v>
      </c>
      <c r="T7" s="2">
        <f t="shared" si="1"/>
        <v>7.5</v>
      </c>
      <c r="U7" s="2">
        <f t="shared" si="1"/>
        <v>7.5</v>
      </c>
      <c r="V7" s="2">
        <f t="shared" si="1"/>
        <v>7.5</v>
      </c>
      <c r="W7" s="2">
        <f t="shared" si="1"/>
        <v>7.5</v>
      </c>
      <c r="X7" s="2">
        <f t="shared" si="1"/>
        <v>7.5</v>
      </c>
      <c r="Y7" s="2">
        <f t="shared" si="1"/>
        <v>7.5</v>
      </c>
      <c r="Z7" s="2">
        <f t="shared" si="1"/>
        <v>7.5</v>
      </c>
      <c r="AA7" s="2">
        <f t="shared" si="1"/>
        <v>7.5</v>
      </c>
      <c r="AB7" s="2">
        <f t="shared" si="1"/>
        <v>7.5</v>
      </c>
      <c r="AC7" s="2">
        <f t="shared" si="1"/>
        <v>12.5</v>
      </c>
      <c r="AD7" s="2">
        <f t="shared" si="1"/>
        <v>12.5</v>
      </c>
      <c r="AE7" s="2">
        <f t="shared" si="1"/>
        <v>12.5</v>
      </c>
      <c r="AF7" s="2">
        <f t="shared" si="1"/>
        <v>12.5</v>
      </c>
      <c r="AG7" s="2">
        <f t="shared" si="1"/>
        <v>12.5</v>
      </c>
      <c r="AH7" s="2">
        <f t="shared" si="1"/>
        <v>12.5</v>
      </c>
      <c r="AI7" s="2">
        <f t="shared" si="1"/>
        <v>12.5</v>
      </c>
      <c r="AJ7" s="2">
        <f t="shared" si="1"/>
        <v>12.5</v>
      </c>
      <c r="AK7" s="2">
        <f t="shared" si="1"/>
        <v>12.5</v>
      </c>
      <c r="AL7" s="2">
        <f t="shared" si="1"/>
        <v>12.5</v>
      </c>
      <c r="AM7" s="2">
        <f t="shared" si="1"/>
        <v>12.5</v>
      </c>
      <c r="AN7" s="2">
        <f t="shared" si="1"/>
        <v>12.5</v>
      </c>
      <c r="AO7" s="2">
        <f t="shared" si="1"/>
        <v>22.5</v>
      </c>
      <c r="AP7" s="2">
        <f t="shared" si="1"/>
        <v>22.5</v>
      </c>
      <c r="AQ7" s="2">
        <f t="shared" si="1"/>
        <v>22.5</v>
      </c>
      <c r="AR7" s="2">
        <f t="shared" si="1"/>
        <v>22.5</v>
      </c>
      <c r="AS7" s="2">
        <f t="shared" si="1"/>
        <v>22.5</v>
      </c>
      <c r="AT7" s="2">
        <f t="shared" si="1"/>
        <v>22.5</v>
      </c>
      <c r="AU7" s="2">
        <f t="shared" si="1"/>
        <v>22.5</v>
      </c>
      <c r="AV7" s="2">
        <f t="shared" si="1"/>
        <v>22.5</v>
      </c>
      <c r="AW7" s="2">
        <f t="shared" si="1"/>
        <v>22.5</v>
      </c>
      <c r="AX7" s="2">
        <f t="shared" si="1"/>
        <v>22.5</v>
      </c>
      <c r="AY7" s="2">
        <f t="shared" si="1"/>
        <v>22.5</v>
      </c>
      <c r="AZ7" s="2">
        <f t="shared" si="1"/>
        <v>22.5</v>
      </c>
      <c r="BA7" s="2">
        <f t="shared" si="1"/>
        <v>22.5</v>
      </c>
      <c r="BB7" s="2">
        <f t="shared" si="1"/>
        <v>22.5</v>
      </c>
      <c r="BC7" s="2">
        <f t="shared" si="1"/>
        <v>22.5</v>
      </c>
      <c r="BD7" s="2">
        <f>BC5*$B$1/12</f>
        <v>22.5</v>
      </c>
      <c r="BE7" s="2">
        <f>BD5*$B$1/12</f>
        <v>22.5</v>
      </c>
      <c r="BF7" s="2">
        <f t="shared" si="1"/>
        <v>22.5</v>
      </c>
      <c r="BG7" s="2">
        <f t="shared" si="1"/>
        <v>22.5</v>
      </c>
      <c r="BH7" s="2">
        <f t="shared" si="1"/>
        <v>22.5</v>
      </c>
      <c r="BI7" s="2">
        <f t="shared" si="1"/>
        <v>22.5</v>
      </c>
      <c r="BJ7" s="2">
        <f t="shared" si="1"/>
        <v>22.5</v>
      </c>
      <c r="BK7" s="2">
        <f t="shared" si="1"/>
        <v>22.5</v>
      </c>
      <c r="BL7" s="2">
        <f>SUM(E7:BK7)</f>
        <v>847.5</v>
      </c>
    </row>
    <row r="8" spans="1:64" x14ac:dyDescent="0.3">
      <c r="G8" s="2">
        <f>SUM(E7:G7)</f>
        <v>22.5</v>
      </c>
      <c r="J8" s="2">
        <f>SUM(H7:J7)</f>
        <v>22.5</v>
      </c>
      <c r="M8" s="2">
        <f>SUM(K7:M7)</f>
        <v>22.5</v>
      </c>
      <c r="O8" s="2"/>
      <c r="P8" s="2">
        <f>SUM(N7:P7)</f>
        <v>22.5</v>
      </c>
      <c r="S8" s="2">
        <f>SUM(Q7:S7)</f>
        <v>22.5</v>
      </c>
      <c r="V8" s="2">
        <f>SUM(T7:V7)</f>
        <v>22.5</v>
      </c>
      <c r="Y8" s="2">
        <f>SUM(W7:Y7)</f>
        <v>22.5</v>
      </c>
      <c r="AA8" s="2"/>
      <c r="AB8" s="2">
        <f>SUM(Z7:AB7)</f>
        <v>22.5</v>
      </c>
      <c r="AE8" s="2">
        <f>SUM(AC7:AE7)</f>
        <v>37.5</v>
      </c>
      <c r="AH8" s="2">
        <f>SUM(AF7:AH7)</f>
        <v>37.5</v>
      </c>
      <c r="AK8" s="2">
        <f>SUM(AI7:AK7)</f>
        <v>37.5</v>
      </c>
      <c r="AN8" s="2">
        <f>SUM(AL7:AN7)</f>
        <v>37.5</v>
      </c>
      <c r="AQ8" s="2">
        <f>SUM(AO7:AQ7)</f>
        <v>67.5</v>
      </c>
      <c r="AT8" s="2">
        <f>SUM(AR7:AT7)</f>
        <v>67.5</v>
      </c>
      <c r="AW8" s="2">
        <f>SUM(AU7:AW7)</f>
        <v>67.5</v>
      </c>
      <c r="AZ8" s="2">
        <f>SUM(AX7:AZ7)</f>
        <v>67.5</v>
      </c>
      <c r="BC8" s="2">
        <f>SUM(BA7:BC7)</f>
        <v>67.5</v>
      </c>
      <c r="BF8" s="2">
        <f>SUM(BD7:BF7)</f>
        <v>67.5</v>
      </c>
      <c r="BI8" s="2">
        <f>SUM(BG7:BI7)</f>
        <v>67.5</v>
      </c>
      <c r="BK8" s="2">
        <f>SUM(BJ7:BK7)</f>
        <v>45</v>
      </c>
      <c r="BL8" s="2">
        <f>SUM(E8:BK8)</f>
        <v>847.5</v>
      </c>
    </row>
    <row r="9" spans="1:64" s="4" customFormat="1" x14ac:dyDescent="0.3">
      <c r="O9" s="4">
        <f>SUM(D8:O8)</f>
        <v>67.5</v>
      </c>
      <c r="AA9" s="4">
        <f>SUM(P8:AA8)</f>
        <v>90</v>
      </c>
      <c r="AM9" s="4">
        <f>SUM(AB8:AM8)</f>
        <v>135</v>
      </c>
      <c r="AY9" s="4">
        <f>SUM(AN8:AY8)</f>
        <v>240</v>
      </c>
      <c r="BK9" s="4">
        <f>SUM(AZ8:BK8)</f>
        <v>315</v>
      </c>
      <c r="BL9" s="4">
        <f>SUM(E9:BK9)</f>
        <v>847.5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e47cd4-274a-40a7-bbc8-226a6770ed99" xsi:nil="true"/>
    <lcf76f155ced4ddcb4097134ff3c332f xmlns="2968c343-7b73-43b3-9ba5-b71bee3af5c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1614C1AECE4D4E94FF77F11FD7DEB9" ma:contentTypeVersion="14" ma:contentTypeDescription="Crear nuevo documento." ma:contentTypeScope="" ma:versionID="b6de2c783391837301719f7669d62029">
  <xsd:schema xmlns:xsd="http://www.w3.org/2001/XMLSchema" xmlns:xs="http://www.w3.org/2001/XMLSchema" xmlns:p="http://schemas.microsoft.com/office/2006/metadata/properties" xmlns:ns2="2968c343-7b73-43b3-9ba5-b71bee3af5c9" xmlns:ns3="62e47cd4-274a-40a7-bbc8-226a6770ed99" targetNamespace="http://schemas.microsoft.com/office/2006/metadata/properties" ma:root="true" ma:fieldsID="9189d4c75f40ac838406fe97a2dd68cb" ns2:_="" ns3:_="">
    <xsd:import namespace="2968c343-7b73-43b3-9ba5-b71bee3af5c9"/>
    <xsd:import namespace="62e47cd4-274a-40a7-bbc8-226a6770e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8c343-7b73-43b3-9ba5-b71bee3af5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325ab8e0-f0ee-4bfc-8338-a85209cbb9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e47cd4-274a-40a7-bbc8-226a6770ed9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3842d74-7765-4288-a8ce-6671c8ee4704}" ma:internalName="TaxCatchAll" ma:showField="CatchAllData" ma:web="62e47cd4-274a-40a7-bbc8-226a6770e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E13608C-85F0-40E3-81B8-D23441D8E7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5677DB-B926-40AF-B71E-6218381E2243}">
  <ds:schemaRefs>
    <ds:schemaRef ds:uri="http://schemas.microsoft.com/office/2006/metadata/properties"/>
    <ds:schemaRef ds:uri="http://schemas.microsoft.com/office/infopath/2007/PartnerControls"/>
    <ds:schemaRef ds:uri="62e47cd4-274a-40a7-bbc8-226a6770ed99"/>
    <ds:schemaRef ds:uri="2968c343-7b73-43b3-9ba5-b71bee3af5c9"/>
  </ds:schemaRefs>
</ds:datastoreItem>
</file>

<file path=customXml/itemProps3.xml><?xml version="1.0" encoding="utf-8"?>
<ds:datastoreItem xmlns:ds="http://schemas.openxmlformats.org/officeDocument/2006/customXml" ds:itemID="{804CB8AD-E1D7-43A1-B50C-FAF3E96128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68c343-7b73-43b3-9ba5-b71bee3af5c9"/>
    <ds:schemaRef ds:uri="62e47cd4-274a-40a7-bbc8-226a6770ed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Resumen</vt:lpstr>
      <vt:lpstr>IVA Dptos</vt:lpstr>
      <vt:lpstr>Hoja1</vt:lpstr>
      <vt:lpstr>Arriendo</vt:lpstr>
      <vt:lpstr>Flujo mensual</vt:lpstr>
      <vt:lpstr>Flujo 5 años C12</vt:lpstr>
      <vt:lpstr>Flujo 5 años C12 (2)</vt:lpstr>
      <vt:lpstr>Crédito Comercial 12A</vt:lpstr>
      <vt:lpstr>Crédito C12</vt:lpstr>
      <vt:lpstr>Flujo 5 años C20</vt:lpstr>
      <vt:lpstr>Crédito Comercial 20A</vt:lpstr>
      <vt:lpstr>Crédito 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</dc:creator>
  <cp:lastModifiedBy>Mario Estrada</cp:lastModifiedBy>
  <cp:lastPrinted>2025-02-07T14:11:04Z</cp:lastPrinted>
  <dcterms:created xsi:type="dcterms:W3CDTF">2018-01-17T14:19:41Z</dcterms:created>
  <dcterms:modified xsi:type="dcterms:W3CDTF">2026-04-13T19:53:15Z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0x010100381614C1AECE4D4E94FF77F11FD7DEB9</vt:lpwstr>
  </property>
</Properties>
</file>