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4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14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4" fontId="0" fillId="0" borderId="5" pivotButton="0" quotePrefix="0" xfId="0"/>
    <xf numFmtId="10" fontId="0" fillId="0" borderId="8" pivotButton="0" quotePrefix="0" xfId="0"/>
    <xf numFmtId="4" fontId="0" fillId="0" borderId="11" pivotButton="0" quotePrefix="0" xfId="0"/>
    <xf numFmtId="4" fontId="5" fillId="3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5" pivotButton="0" quotePrefix="0" xfId="0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A2" s="431" t="inlineStr">
        <is>
          <t>STAGE3 - SQLITE + ARRIENDO INPUT</t>
        </is>
      </c>
      <c r="B2" s="431" t="inlineStr"/>
      <c r="C2" s="431" t="inlineStr"/>
      <c r="D2" s="431" t="inlineStr"/>
      <c r="E2" s="431" t="inlineStr"/>
      <c r="F2" s="431" t="inlineStr"/>
      <c r="G2" t="n">
        <v>2</v>
      </c>
      <c r="H2" t="n">
        <v>2</v>
      </c>
      <c r="I2" t="n">
        <v>2</v>
      </c>
    </row>
    <row r="3">
      <c r="A3" s="431" t="inlineStr">
        <is>
          <t>Concepto</t>
        </is>
      </c>
      <c r="B3" s="432" t="inlineStr">
        <is>
          <t>Valor</t>
        </is>
      </c>
      <c r="C3" s="433" t="inlineStr">
        <is>
          <t>Unidad</t>
        </is>
      </c>
      <c r="D3" s="434" t="inlineStr">
        <is>
          <t>Origen</t>
        </is>
      </c>
      <c r="E3" s="434" t="inlineStr">
        <is>
          <t>Comentario</t>
        </is>
      </c>
      <c r="F3" s="434" t="inlineStr">
        <is>
          <t>Estado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A4" t="inlineStr">
        <is>
          <t>Ingreso mensual full ocupación</t>
        </is>
      </c>
      <c r="B4" s="435" t="n">
        <v>2500000</v>
      </c>
      <c r="C4" s="347" t="inlineStr">
        <is>
          <t>CLP</t>
        </is>
      </c>
      <c r="D4" s="347" t="inlineStr">
        <is>
          <t>SQLITE/ARRIENDO</t>
        </is>
      </c>
      <c r="E4" s="347" t="inlineStr">
        <is>
          <t>Base inferida desde hoja Arriendo</t>
        </is>
      </c>
      <c r="F4" s="347" t="inlineStr">
        <is>
          <t>OK</t>
        </is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A5" t="inlineStr">
        <is>
          <t>Ocupación estabilizada</t>
        </is>
      </c>
      <c r="B5" s="436" t="n">
        <v>0.9</v>
      </c>
      <c r="C5" s="28" t="inlineStr">
        <is>
          <t>ratio</t>
        </is>
      </c>
      <c r="D5" s="349" t="inlineStr">
        <is>
          <t>PARAMETER</t>
        </is>
      </c>
      <c r="E5" s="349" t="inlineStr">
        <is>
          <t>Supuesto estabilizado confirmado</t>
        </is>
      </c>
      <c r="F5" s="349" t="inlineStr">
        <is>
          <t>OK</t>
        </is>
      </c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A6" t="inlineStr">
        <is>
          <t>Ingreso mensual efectivo</t>
        </is>
      </c>
      <c r="B6" s="437" t="n">
        <v>2250000</v>
      </c>
      <c r="C6" s="351" t="inlineStr">
        <is>
          <t>CLP</t>
        </is>
      </c>
      <c r="D6" s="351" t="inlineStr">
        <is>
          <t>ENGINE_STAGE3</t>
        </is>
      </c>
      <c r="E6" s="351" t="inlineStr">
        <is>
          <t>Ingreso full x ocupación</t>
        </is>
      </c>
      <c r="F6" s="351" t="inlineStr">
        <is>
          <t>OK</t>
        </is>
      </c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A7" t="inlineStr">
        <is>
          <t>Egreso mensual placeholder</t>
        </is>
      </c>
      <c r="B7" s="438" t="n">
        <v>250000</v>
      </c>
      <c r="C7" s="88" t="inlineStr">
        <is>
          <t>CLP</t>
        </is>
      </c>
      <c r="D7" s="69" t="inlineStr">
        <is>
          <t>ENGINE_STAGE3</t>
        </is>
      </c>
      <c r="E7" s="95" t="inlineStr">
        <is>
          <t>Placeholder técnico temporal</t>
        </is>
      </c>
      <c r="F7" s="95" t="inlineStr">
        <is>
          <t>PENDING_REFINEMENT</t>
        </is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8">
      <c r="A8" t="inlineStr">
        <is>
          <t>Flujo mensual neto</t>
        </is>
      </c>
      <c r="B8" s="107" t="n">
        <v>2000000</v>
      </c>
      <c r="C8" t="inlineStr">
        <is>
          <t>CLP</t>
        </is>
      </c>
      <c r="D8" t="inlineStr">
        <is>
          <t>ENGINE_STAGE3</t>
        </is>
      </c>
      <c r="E8" t="inlineStr">
        <is>
          <t>Ingreso efectivo - egreso</t>
        </is>
      </c>
      <c r="F8" t="inlineStr">
        <is>
          <t>OK</t>
        </is>
      </c>
    </row>
    <row r="9">
      <c r="A9" t="inlineStr">
        <is>
          <t>Flujo acumulado 1 mes</t>
        </is>
      </c>
      <c r="B9" s="107" t="n">
        <v>2000000</v>
      </c>
      <c r="C9" t="inlineStr">
        <is>
          <t>CLP</t>
        </is>
      </c>
      <c r="D9" t="inlineStr">
        <is>
          <t>ENGINE_STAGE3</t>
        </is>
      </c>
      <c r="E9" t="inlineStr">
        <is>
          <t>Acumulado simple</t>
        </is>
      </c>
      <c r="F9" t="inlineStr">
        <is>
          <t>OK</t>
        </is>
      </c>
    </row>
    <row r="10">
      <c r="A10" t="inlineStr">
        <is>
          <t>Ingreso anual estabilizado</t>
        </is>
      </c>
      <c r="B10" s="438" t="n">
        <v>27000000</v>
      </c>
      <c r="C10" s="88" t="inlineStr">
        <is>
          <t>CLP</t>
        </is>
      </c>
      <c r="D10" s="69" t="inlineStr">
        <is>
          <t>ENGINE_STAGE3</t>
        </is>
      </c>
      <c r="E10" s="69" t="inlineStr">
        <is>
          <t>Mensual efectivo x 12</t>
        </is>
      </c>
      <c r="F10" s="69" t="inlineStr">
        <is>
          <t>OK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A11" s="439" t="inlineStr">
        <is>
          <t>Nota</t>
        </is>
      </c>
      <c r="B11" s="440" t="inlineStr">
        <is>
          <t>Este bloque usa base inferida desde SQLite / Arriendo.</t>
        </is>
      </c>
      <c r="C11" s="347" t="inlineStr"/>
      <c r="D11" s="347" t="inlineStr">
        <is>
          <t>SYSTEM</t>
        </is>
      </c>
      <c r="E11" s="347" t="inlineStr"/>
      <c r="F11" s="347" t="inlineStr">
        <is>
          <t>INFO</t>
        </is>
      </c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n"/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n"/>
      <c r="C13" s="349" t="n"/>
      <c r="D13" s="349" t="n"/>
      <c r="E13" s="349" t="n"/>
      <c r="F13" s="349" t="n"/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n"/>
      <c r="C14" s="349" t="n"/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n"/>
      <c r="C15" s="349" t="n"/>
      <c r="D15" s="349" t="n"/>
      <c r="E15" s="349" t="n"/>
      <c r="F15" s="349" t="n"/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n"/>
      <c r="C16" s="349" t="n"/>
      <c r="D16" s="349" t="n"/>
      <c r="E16" s="349" t="n"/>
      <c r="F16" s="349" t="n"/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n"/>
      <c r="C17" s="349" t="n"/>
      <c r="D17" s="349" t="n"/>
      <c r="E17" s="349" t="n"/>
      <c r="F17" s="349" t="n"/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n"/>
      <c r="C18" s="349" t="n"/>
      <c r="D18" s="349" t="n"/>
      <c r="E18" s="349" t="n"/>
      <c r="F18" s="349" t="n"/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n"/>
      <c r="C19" s="349" t="n"/>
      <c r="D19" s="349" t="n"/>
      <c r="E19" s="349" t="n"/>
      <c r="F19" s="349" t="n"/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n"/>
      <c r="C20" s="351" t="n"/>
      <c r="D20" s="351" t="n"/>
      <c r="E20" s="351" t="n"/>
      <c r="F20" s="351" t="n"/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n"/>
      <c r="C21" s="92" t="n"/>
      <c r="D21" s="93" t="n"/>
      <c r="E21" s="93" t="n"/>
      <c r="F21" s="93" t="n"/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2"/>
    <row r="23">
      <c r="B23" s="36" t="n"/>
      <c r="C23" s="353" t="n"/>
      <c r="D23" s="354" t="n"/>
      <c r="E23" s="354" t="n"/>
      <c r="F23" s="354" t="n"/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n"/>
      <c r="C24" s="353" t="n"/>
      <c r="D24" s="354" t="n"/>
      <c r="E24" s="354" t="n"/>
      <c r="F24" s="354" t="n"/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2026-04-15T22:06:54Z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