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29" firstSheet="4" activeTab="5" autoFilterDateGrouping="1"/>
  </bookViews>
  <sheets>
    <sheet name="Resumen" sheetId="1" state="visible" r:id="rId1"/>
    <sheet name="IVA Dptos" sheetId="2" state="visible" r:id="rId2"/>
    <sheet name="Hoja1" sheetId="3" state="visible" r:id="rId3"/>
    <sheet name="Arriendo" sheetId="4" state="visible" r:id="rId4"/>
    <sheet name="Flujo mensual" sheetId="5" state="visible" r:id="rId5"/>
    <sheet name="Flujo 5 años C12" sheetId="6" state="visible" r:id="rId6"/>
    <sheet name="Flujo 5 años C12 (2)" sheetId="7" state="visible" r:id="rId7"/>
    <sheet name="Crédito Comercial 12A" sheetId="8" state="visible" r:id="rId8"/>
    <sheet name="Crédito C12" sheetId="9" state="visible" r:id="rId9"/>
    <sheet name="Flujo 5 años C20" sheetId="10" state="visible" r:id="rId10"/>
    <sheet name="Crédito Comercial 20A" sheetId="11" state="visible" r:id="rId11"/>
    <sheet name="Crédito C20" sheetId="12" state="visible" r:id="rId12"/>
    <sheet name="Resumen.IA" sheetId="13" state="visible" r:id="rId13"/>
    <sheet name="IVA Dptos.IA" sheetId="14" state="visible" r:id="rId14"/>
    <sheet name="Hoja1.IA" sheetId="15" state="visible" r:id="rId15"/>
    <sheet name="Arriendo.IA" sheetId="16" state="visible" r:id="rId16"/>
    <sheet name="Flujo mensual.IA" sheetId="17" state="visible" r:id="rId17"/>
    <sheet name="Flujo 5 años C12.IA" sheetId="18" state="visible" r:id="rId18"/>
    <sheet name="Flujo 5 años C12 (2).IA" sheetId="19" state="visible" r:id="rId19"/>
    <sheet name="Crédito Comercial 12A.IA" sheetId="20" state="visible" r:id="rId20"/>
    <sheet name="Crédito C12.IA" sheetId="21" state="visible" r:id="rId21"/>
    <sheet name="Flujo 5 años C20.IA" sheetId="22" state="visible" r:id="rId22"/>
    <sheet name="Crédito Comercial 20A.IA" sheetId="23" state="visible" r:id="rId23"/>
    <sheet name="Crédito C20.IA" sheetId="24" state="visible" r:id="rId2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 * #,##0_ ;_ * \-#,##0_ ;_ * &quot;-&quot;_ ;_ @_ "/>
    <numFmt numFmtId="165" formatCode="_ &quot;$&quot;* #,##0_ ;_ &quot;$&quot;* \-#,##0_ ;_ &quot;$&quot;* &quot;-&quot;_ ;_ @_ "/>
    <numFmt numFmtId="166" formatCode="0.0%"/>
    <numFmt numFmtId="167" formatCode="_ * #,##0.00_ ;_ * \-#,##0.00_ ;_ * &quot;-&quot;_ ;_ @_ "/>
    <numFmt numFmtId="168" formatCode="_ * #,##0.00_ ;_ * \-#,##0.00_ ;_ * &quot;-&quot;??_ ;_ @_ "/>
    <numFmt numFmtId="169" formatCode="_ &quot;$&quot;* #,##0.0_ ;_ &quot;$&quot;* \-#,##0.0_ ;_ &quot;$&quot;* &quot;-&quot;_ ;_ @_ "/>
    <numFmt numFmtId="170" formatCode="_ &quot;$&quot;* #,##0.00_ ;_ &quot;$&quot;* \-#,##0.00_ ;_ &quot;$&quot;* &quot;-&quot;_ ;_ @_ "/>
    <numFmt numFmtId="171" formatCode="_ * #,##0.0000_ ;_ * \-#,##0.0000_ ;_ * &quot;-&quot;_ ;_ @_ 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rgb="FF706F6F"/>
      <sz val="7"/>
    </font>
    <font>
      <name val="Calibri"/>
      <family val="2"/>
      <b val="1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b val="1"/>
      <color theme="3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indexed="9"/>
      <sz val="10"/>
      <scheme val="minor"/>
    </font>
    <font>
      <name val="Calibri"/>
      <family val="2"/>
      <sz val="10"/>
      <scheme val="minor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indexed="64"/>
      </bottom>
      <diagonal/>
    </border>
    <border>
      <left style="thin">
        <color theme="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theme="1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theme="2" tint="-0.09985656300546282"/>
      </top>
      <bottom style="thin">
        <color theme="2" tint="-0.09985656300546282"/>
      </bottom>
      <diagonal/>
    </border>
    <border>
      <left/>
      <right/>
      <top style="thin">
        <color theme="2" tint="-0.09988708151493882"/>
      </top>
      <bottom style="thin">
        <color theme="2" tint="-0.09994811853389081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/>
      <top style="thin">
        <color theme="2" tint="-0.09988708151493882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2604449598681"/>
      </bottom>
      <diagonal/>
    </border>
    <border>
      <left/>
      <right/>
      <top style="thin">
        <color theme="2" tint="-0.09982604449598681"/>
      </top>
      <bottom style="thin">
        <color theme="2" tint="-0.09985656300546282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88708151493882"/>
      </top>
      <bottom style="thin">
        <color theme="2" tint="-0.09991760002441481"/>
      </bottom>
      <diagonal/>
    </border>
    <border>
      <left style="thin">
        <color theme="2" tint="-0.09991760002441481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1760002441481"/>
      </top>
      <bottom style="thin">
        <color theme="2" tint="-0.09991760002441481"/>
      </bottom>
      <diagonal/>
    </border>
    <border>
      <left style="thin">
        <color theme="2" tint="-0.09988708151493882"/>
      </left>
      <right style="thin">
        <color theme="2" tint="-0.09985656300546282"/>
      </right>
      <top/>
      <bottom/>
      <diagonal/>
    </border>
    <border>
      <left style="thin">
        <color theme="2" tint="-0.09988708151493882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theme="2" tint="-0.09994811853389081"/>
      </left>
      <right style="thin">
        <color theme="2" tint="-0.09985656300546282"/>
      </right>
      <top style="thin">
        <color theme="2" tint="-0.09994811853389081"/>
      </top>
      <bottom style="thin">
        <color theme="2" tint="-0.09994811853389081"/>
      </bottom>
      <diagonal/>
    </border>
    <border>
      <left style="thin">
        <color indexed="64"/>
      </left>
      <right style="thin">
        <color theme="2"/>
      </right>
      <top/>
      <bottom style="thin">
        <color indexed="64"/>
      </bottom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/>
      <diagonal/>
    </border>
    <border>
      <left style="thin">
        <color theme="2"/>
      </left>
      <right style="thin">
        <color indexed="64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/>
      <diagonal/>
    </border>
    <border>
      <left style="thin">
        <color theme="1"/>
      </left>
      <right style="thin">
        <color theme="1"/>
      </right>
      <top style="thin">
        <color theme="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2" tint="-0.0998870815149388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</borders>
  <cellStyleXfs count="7">
    <xf numFmtId="0" fontId="3" fillId="0" borderId="0"/>
    <xf numFmtId="0" fontId="2" fillId="0" borderId="0"/>
    <xf numFmtId="9" fontId="2" fillId="0" borderId="0"/>
    <xf numFmtId="41" fontId="3" fillId="0" borderId="0"/>
    <xf numFmtId="41" fontId="3" fillId="0" borderId="0"/>
    <xf numFmtId="42" fontId="3" fillId="0" borderId="0"/>
    <xf numFmtId="9" fontId="3" fillId="0" borderId="0"/>
  </cellStyleXfs>
  <cellXfs count="441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3"/>
    <xf numFmtId="0" fontId="0" fillId="0" borderId="1" pivotButton="0" quotePrefix="0" xfId="0"/>
    <xf numFmtId="164" fontId="1" fillId="0" borderId="0" pivotButton="0" quotePrefix="0" xfId="0"/>
    <xf numFmtId="164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165" fontId="0" fillId="0" borderId="1" pivotButton="0" quotePrefix="0" xfId="5"/>
    <xf numFmtId="165" fontId="0" fillId="0" borderId="0" pivotButton="0" quotePrefix="0" xfId="0"/>
    <xf numFmtId="9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6" fontId="0" fillId="0" borderId="0" pivotButton="0" quotePrefix="0" xfId="6"/>
    <xf numFmtId="167" fontId="0" fillId="0" borderId="0" pivotButton="0" quotePrefix="0" xfId="3"/>
    <xf numFmtId="2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0" fontId="0" fillId="0" borderId="4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0" borderId="5" pivotButton="0" quotePrefix="0" xfId="0"/>
    <xf numFmtId="167" fontId="0" fillId="0" borderId="6" pivotButton="0" quotePrefix="0" xfId="3"/>
    <xf numFmtId="167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0" fillId="0" borderId="9" pivotButton="0" quotePrefix="0" xfId="3"/>
    <xf numFmtId="167" fontId="0" fillId="0" borderId="10" pivotButton="0" quotePrefix="0" xfId="0"/>
    <xf numFmtId="0" fontId="0" fillId="0" borderId="11" pivotButton="0" quotePrefix="0" xfId="0"/>
    <xf numFmtId="167" fontId="0" fillId="0" borderId="12" pivotButton="0" quotePrefix="0" xfId="3"/>
    <xf numFmtId="167" fontId="0" fillId="0" borderId="13" pivotButton="0" quotePrefix="0" xfId="0"/>
    <xf numFmtId="0" fontId="0" fillId="0" borderId="13" pivotButton="0" quotePrefix="0" xfId="0"/>
    <xf numFmtId="168" fontId="0" fillId="0" borderId="12" pivotButton="0" quotePrefix="0" xfId="0"/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5" fontId="0" fillId="0" borderId="9" pivotButton="0" quotePrefix="0" xfId="5"/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0" fontId="0" fillId="2" borderId="8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165" fontId="0" fillId="0" borderId="12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3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0" fillId="0" borderId="9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9" fontId="0" fillId="0" borderId="9" applyAlignment="1" pivotButton="0" quotePrefix="0" xfId="6">
      <alignment horizontal="center" vertical="center"/>
    </xf>
    <xf numFmtId="165" fontId="0" fillId="0" borderId="10" pivotButton="0" quotePrefix="0" xfId="5"/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9" fontId="0" fillId="0" borderId="12" applyAlignment="1" pivotButton="0" quotePrefix="0" xfId="6">
      <alignment horizontal="center" vertical="center"/>
    </xf>
    <xf numFmtId="165" fontId="0" fillId="0" borderId="13" pivotButton="0" quotePrefix="0" xfId="5"/>
    <xf numFmtId="0" fontId="0" fillId="0" borderId="1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vertical="center" wrapText="1"/>
    </xf>
    <xf numFmtId="0" fontId="0" fillId="0" borderId="10" pivotButton="0" quotePrefix="0" xfId="0"/>
    <xf numFmtId="0" fontId="5" fillId="3" borderId="15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/>
    </xf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0" fontId="0" fillId="0" borderId="17" pivotButton="0" quotePrefix="0" xfId="0"/>
    <xf numFmtId="167" fontId="0" fillId="0" borderId="19" pivotButton="0" quotePrefix="0" xfId="0"/>
    <xf numFmtId="0" fontId="5" fillId="3" borderId="22" applyAlignment="1" pivotButton="0" quotePrefix="0" xfId="0">
      <alignment horizontal="center" vertical="center"/>
    </xf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0" fontId="0" fillId="0" borderId="24" pivotButton="0" quotePrefix="0" xfId="0"/>
    <xf numFmtId="167" fontId="0" fillId="0" borderId="25" pivotButton="0" quotePrefix="0" xfId="3"/>
    <xf numFmtId="167" fontId="0" fillId="0" borderId="26" pivotButton="0" quotePrefix="0" xfId="3"/>
    <xf numFmtId="167" fontId="0" fillId="0" borderId="27" pivotButton="0" quotePrefix="0" xfId="3"/>
    <xf numFmtId="168" fontId="1" fillId="7" borderId="0" pivotButton="0" quotePrefix="0" xfId="0"/>
    <xf numFmtId="0" fontId="5" fillId="3" borderId="14" applyAlignment="1" pivotButton="0" quotePrefix="0" xfId="0">
      <alignment horizontal="center" vertical="center"/>
    </xf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2" fontId="5" fillId="3" borderId="14" applyAlignment="1" pivotButton="0" quotePrefix="0" xfId="0">
      <alignment horizontal="center" vertical="center"/>
    </xf>
    <xf numFmtId="2" fontId="5" fillId="3" borderId="15" applyAlignment="1" pivotButton="0" quotePrefix="0" xfId="0">
      <alignment horizontal="center" vertical="center"/>
    </xf>
    <xf numFmtId="2" fontId="5" fillId="3" borderId="16" applyAlignment="1" pivotButton="0" quotePrefix="0" xfId="0">
      <alignment horizontal="center" vertical="center"/>
    </xf>
    <xf numFmtId="4" fontId="5" fillId="3" borderId="15" applyAlignment="1" pivotButton="0" quotePrefix="0" xfId="0">
      <alignment horizontal="center" vertical="center"/>
    </xf>
    <xf numFmtId="4" fontId="5" fillId="3" borderId="16" applyAlignment="1" pivotButton="0" quotePrefix="0" xfId="0">
      <alignment horizontal="center" vertical="center"/>
    </xf>
    <xf numFmtId="4" fontId="6" fillId="0" borderId="0" pivotButton="0" quotePrefix="0" xfId="0"/>
    <xf numFmtId="167" fontId="1" fillId="2" borderId="0" applyAlignment="1" pivotButton="0" quotePrefix="0" xfId="3">
      <alignment horizontal="center" vertical="center"/>
    </xf>
    <xf numFmtId="167" fontId="0" fillId="0" borderId="0" pivotButton="0" quotePrefix="0" xfId="3"/>
    <xf numFmtId="167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horizontal="right"/>
    </xf>
    <xf numFmtId="164" fontId="0" fillId="0" borderId="29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0" fontId="1" fillId="9" borderId="28" applyAlignment="1" pivotButton="0" quotePrefix="0" xfId="0">
      <alignment horizontal="center" vertical="center" wrapText="1"/>
    </xf>
    <xf numFmtId="0" fontId="1" fillId="0" borderId="3" pivotButton="0" quotePrefix="0" xfId="0"/>
    <xf numFmtId="4" fontId="0" fillId="0" borderId="0" pivotButton="0" quotePrefix="0" xfId="0"/>
    <xf numFmtId="3" fontId="1" fillId="0" borderId="0" pivotButton="0" quotePrefix="0" xfId="0"/>
    <xf numFmtId="9" fontId="0" fillId="0" borderId="0" pivotButton="0" quotePrefix="0" xfId="6"/>
    <xf numFmtId="0" fontId="1" fillId="10" borderId="2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0" fillId="5" borderId="0" pivotButton="0" quotePrefix="0" xfId="0"/>
    <xf numFmtId="167" fontId="0" fillId="5" borderId="0" pivotButton="0" quotePrefix="0" xfId="3"/>
    <xf numFmtId="2" fontId="0" fillId="5" borderId="0" pivotButton="0" quotePrefix="0" xfId="0"/>
    <xf numFmtId="168" fontId="0" fillId="5" borderId="0" pivotButton="0" quotePrefix="0" xfId="0"/>
    <xf numFmtId="164" fontId="0" fillId="0" borderId="18" applyAlignment="1" pivotButton="0" quotePrefix="0" xfId="3">
      <alignment horizontal="center"/>
    </xf>
    <xf numFmtId="167" fontId="1" fillId="4" borderId="15" applyAlignment="1" pivotButton="0" quotePrefix="0" xfId="3">
      <alignment horizontal="center" vertical="center"/>
    </xf>
    <xf numFmtId="168" fontId="0" fillId="4" borderId="0" pivotButton="0" quotePrefix="0" xfId="0"/>
    <xf numFmtId="0" fontId="5" fillId="0" borderId="0" applyAlignment="1" pivotButton="0" quotePrefix="0" xfId="0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0" fillId="0" borderId="0" pivotButton="0" quotePrefix="0" xfId="3"/>
    <xf numFmtId="0" fontId="5" fillId="3" borderId="31" applyAlignment="1" pivotButton="0" quotePrefix="0" xfId="0">
      <alignment horizontal="center" vertical="center"/>
    </xf>
    <xf numFmtId="167" fontId="0" fillId="0" borderId="32" pivotButton="0" quotePrefix="0" xfId="3"/>
    <xf numFmtId="167" fontId="1" fillId="2" borderId="31" applyAlignment="1" pivotButton="0" quotePrefix="0" xfId="3">
      <alignment horizontal="center" vertical="center"/>
    </xf>
    <xf numFmtId="167" fontId="7" fillId="0" borderId="9" pivotButton="0" quotePrefix="0" xfId="3"/>
    <xf numFmtId="167" fontId="7" fillId="0" borderId="12" pivotButton="0" quotePrefix="0" xfId="3"/>
    <xf numFmtId="168" fontId="7" fillId="0" borderId="0" pivotButton="0" quotePrefix="0" xfId="0"/>
    <xf numFmtId="168" fontId="1" fillId="0" borderId="0" pivotButton="0" quotePrefix="0" xfId="0"/>
    <xf numFmtId="17" fontId="0" fillId="0" borderId="0" pivotButton="0" quotePrefix="0" xfId="0"/>
    <xf numFmtId="0" fontId="0" fillId="2" borderId="0" pivotButton="0" quotePrefix="0" xfId="0"/>
    <xf numFmtId="167" fontId="0" fillId="0" borderId="33" pivotButton="0" quotePrefix="0" xfId="0"/>
    <xf numFmtId="167" fontId="0" fillId="0" borderId="34" pivotButton="0" quotePrefix="0" xfId="0"/>
    <xf numFmtId="167" fontId="0" fillId="0" borderId="35" pivotButton="0" quotePrefix="0" xfId="0"/>
    <xf numFmtId="164" fontId="0" fillId="0" borderId="10" applyAlignment="1" pivotButton="0" quotePrefix="0" xfId="3">
      <alignment horizontal="center"/>
    </xf>
    <xf numFmtId="0" fontId="1" fillId="6" borderId="33" applyAlignment="1" pivotButton="0" quotePrefix="0" xfId="0">
      <alignment horizontal="center" vertical="center" wrapText="1"/>
    </xf>
    <xf numFmtId="164" fontId="0" fillId="6" borderId="34" applyAlignment="1" pivotButton="0" quotePrefix="0" xfId="0">
      <alignment horizontal="center"/>
    </xf>
    <xf numFmtId="0" fontId="0" fillId="0" borderId="2" pivotButton="0" quotePrefix="0" xfId="0"/>
    <xf numFmtId="164" fontId="0" fillId="6" borderId="35" applyAlignment="1" pivotButton="0" quotePrefix="0" xfId="0">
      <alignment horizontal="center"/>
    </xf>
    <xf numFmtId="164" fontId="0" fillId="4" borderId="0" applyAlignment="1" pivotButton="0" quotePrefix="0" xfId="3">
      <alignment horizontal="center" vertical="center"/>
    </xf>
    <xf numFmtId="164" fontId="0" fillId="0" borderId="1" pivotButton="0" quotePrefix="0" xfId="3"/>
    <xf numFmtId="169" fontId="0" fillId="0" borderId="1" pivotButton="0" quotePrefix="0" xfId="5"/>
    <xf numFmtId="170" fontId="0" fillId="0" borderId="1" pivotButton="0" quotePrefix="0" xfId="5"/>
    <xf numFmtId="0" fontId="8" fillId="0" borderId="0" pivotButton="0" quotePrefix="0" xfId="0"/>
    <xf numFmtId="168" fontId="8" fillId="0" borderId="0" pivotButton="0" quotePrefix="0" xfId="0"/>
    <xf numFmtId="167" fontId="8" fillId="0" borderId="0" pivotButton="0" quotePrefix="0" xfId="3"/>
    <xf numFmtId="2" fontId="8" fillId="0" borderId="0" pivotButton="0" quotePrefix="0" xfId="0"/>
    <xf numFmtId="171" fontId="8" fillId="0" borderId="0" pivotButton="0" quotePrefix="0" xfId="3"/>
    <xf numFmtId="0" fontId="0" fillId="4" borderId="0" pivotButton="0" quotePrefix="0" xfId="0"/>
    <xf numFmtId="164" fontId="0" fillId="4" borderId="0" pivotButton="0" quotePrefix="0" xfId="3"/>
    <xf numFmtId="167" fontId="0" fillId="4" borderId="0" pivotButton="0" quotePrefix="0" xfId="3"/>
    <xf numFmtId="2" fontId="0" fillId="4" borderId="0" pivotButton="0" quotePrefix="0" xfId="0"/>
    <xf numFmtId="0" fontId="0" fillId="11" borderId="0" pivotButton="0" quotePrefix="0" xfId="0"/>
    <xf numFmtId="166" fontId="1" fillId="2" borderId="0" applyAlignment="1" pivotButton="0" quotePrefix="0" xfId="0">
      <alignment horizontal="center" vertical="center"/>
    </xf>
    <xf numFmtId="9" fontId="1" fillId="2" borderId="0" applyAlignment="1" pivotButton="0" quotePrefix="0" xfId="0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3" fontId="1" fillId="0" borderId="4" pivotButton="0" quotePrefix="0" xfId="0"/>
    <xf numFmtId="0" fontId="1" fillId="0" borderId="33" applyAlignment="1" pivotButton="0" quotePrefix="0" xfId="0">
      <alignment horizontal="center" vertical="center" wrapText="1"/>
    </xf>
    <xf numFmtId="0" fontId="0" fillId="0" borderId="34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5" fillId="3" borderId="38" applyAlignment="1" pivotButton="0" quotePrefix="0" xfId="0">
      <alignment horizontal="center"/>
    </xf>
    <xf numFmtId="164" fontId="0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0" fontId="10" fillId="0" borderId="0" pivotButton="0" quotePrefix="0" xfId="0"/>
    <xf numFmtId="164" fontId="10" fillId="0" borderId="0" applyAlignment="1" pivotButton="0" quotePrefix="0" xfId="3">
      <alignment horizontal="center" vertical="center"/>
    </xf>
    <xf numFmtId="164" fontId="10" fillId="0" borderId="0" applyAlignment="1" pivotButton="0" quotePrefix="0" xfId="3">
      <alignment horizontal="center" vertical="center"/>
    </xf>
    <xf numFmtId="3" fontId="10" fillId="0" borderId="39" applyAlignment="1" pivotButton="0" quotePrefix="0" xfId="3">
      <alignment horizontal="center" vertical="center"/>
    </xf>
    <xf numFmtId="1" fontId="10" fillId="0" borderId="39" applyAlignment="1" pivotButton="0" quotePrefix="0" xfId="3">
      <alignment horizontal="center" vertical="center"/>
    </xf>
    <xf numFmtId="0" fontId="1" fillId="2" borderId="0" pivotButton="0" quotePrefix="0" xfId="0"/>
    <xf numFmtId="0" fontId="5" fillId="2" borderId="0" applyAlignment="1" pivotButton="0" quotePrefix="0" xfId="0">
      <alignment horizontal="center"/>
    </xf>
    <xf numFmtId="3" fontId="9" fillId="0" borderId="39" applyAlignment="1" pivotButton="0" quotePrefix="0" xfId="3">
      <alignment horizontal="center" vertical="center"/>
    </xf>
    <xf numFmtId="0" fontId="9" fillId="0" borderId="41" applyAlignment="1" pivotButton="0" quotePrefix="0" xfId="0">
      <alignment horizontal="center"/>
    </xf>
    <xf numFmtId="0" fontId="10" fillId="0" borderId="42" pivotButton="0" quotePrefix="0" xfId="0"/>
    <xf numFmtId="0" fontId="10" fillId="0" borderId="43" pivotButton="0" quotePrefix="0" xfId="0"/>
    <xf numFmtId="0" fontId="10" fillId="0" borderId="44" pivotButton="0" quotePrefix="0" xfId="0"/>
    <xf numFmtId="0" fontId="10" fillId="0" borderId="45" pivotButton="0" quotePrefix="0" xfId="0"/>
    <xf numFmtId="0" fontId="10" fillId="0" borderId="46" pivotButton="0" quotePrefix="0" xfId="0"/>
    <xf numFmtId="0" fontId="10" fillId="0" borderId="47" pivotButton="0" quotePrefix="0" xfId="0"/>
    <xf numFmtId="0" fontId="10" fillId="0" borderId="48" pivotButton="0" quotePrefix="0" xfId="0"/>
    <xf numFmtId="0" fontId="10" fillId="0" borderId="49" pivotButton="0" quotePrefix="0" xfId="0"/>
    <xf numFmtId="0" fontId="10" fillId="0" borderId="50" pivotButton="0" quotePrefix="0" xfId="0"/>
    <xf numFmtId="0" fontId="0" fillId="0" borderId="51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0" fontId="9" fillId="2" borderId="53" applyAlignment="1" pivotButton="0" quotePrefix="0" xfId="0">
      <alignment horizontal="center" vertical="center"/>
    </xf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0" fontId="10" fillId="0" borderId="5" pivotButton="0" quotePrefix="0" xfId="0"/>
    <xf numFmtId="167" fontId="10" fillId="0" borderId="6" pivotButton="0" quotePrefix="0" xfId="3"/>
    <xf numFmtId="167" fontId="10" fillId="0" borderId="32" pivotButton="0" quotePrefix="0" xfId="3"/>
    <xf numFmtId="167" fontId="10" fillId="0" borderId="0" pivotButton="0" quotePrefix="0" xfId="0"/>
    <xf numFmtId="0" fontId="10" fillId="0" borderId="8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0" fontId="10" fillId="0" borderId="11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0" fontId="10" fillId="0" borderId="17" pivotButton="0" quotePrefix="0" xfId="0"/>
    <xf numFmtId="167" fontId="10" fillId="0" borderId="19" pivotButton="0" quotePrefix="0" xfId="0"/>
    <xf numFmtId="167" fontId="10" fillId="0" borderId="27" pivotButton="0" quotePrefix="0" xfId="3"/>
    <xf numFmtId="0" fontId="10" fillId="0" borderId="24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0" fontId="10" fillId="0" borderId="52" pivotButton="0" quotePrefix="0" xfId="0"/>
    <xf numFmtId="167" fontId="9" fillId="0" borderId="12" pivotButton="0" quotePrefix="0" xfId="3"/>
    <xf numFmtId="167" fontId="10" fillId="0" borderId="35" pivotButton="0" quotePrefix="0" xfId="0"/>
    <xf numFmtId="0" fontId="11" fillId="2" borderId="53" applyAlignment="1" pivotButton="0" quotePrefix="0" xfId="0">
      <alignment horizontal="center" vertical="center"/>
    </xf>
    <xf numFmtId="167" fontId="11" fillId="2" borderId="54" applyAlignment="1" pivotButton="0" quotePrefix="0" xfId="3">
      <alignment horizontal="center" vertical="center"/>
    </xf>
    <xf numFmtId="0" fontId="12" fillId="0" borderId="0" pivotButton="0" quotePrefix="0" xfId="0"/>
    <xf numFmtId="167" fontId="11" fillId="7" borderId="53" applyAlignment="1" pivotButton="0" quotePrefix="0" xfId="3">
      <alignment horizontal="center" vertical="center"/>
    </xf>
    <xf numFmtId="1" fontId="9" fillId="0" borderId="39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0" fontId="10" fillId="8" borderId="8" pivotButton="0" quotePrefix="0" xfId="0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9" fillId="8" borderId="15" applyAlignment="1" pivotButton="0" quotePrefix="0" xfId="3">
      <alignment horizontal="center" vertical="center"/>
    </xf>
    <xf numFmtId="0" fontId="10" fillId="8" borderId="5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0" fontId="0" fillId="0" borderId="58" applyAlignment="1" pivotButton="0" quotePrefix="0" xfId="0">
      <alignment horizontal="center"/>
    </xf>
    <xf numFmtId="0" fontId="0" fillId="0" borderId="59" pivotButton="0" quotePrefix="0" xfId="0"/>
    <xf numFmtId="164" fontId="0" fillId="0" borderId="60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0" fontId="1" fillId="5" borderId="28" applyAlignment="1" pivotButton="0" quotePrefix="0" xfId="0">
      <alignment horizontal="center" vertical="center" wrapText="1"/>
    </xf>
    <xf numFmtId="0" fontId="0" fillId="11" borderId="3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8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0" fontId="13" fillId="3" borderId="0" pivotButton="0" quotePrefix="0" xfId="0"/>
    <xf numFmtId="0" fontId="0" fillId="2" borderId="8" applyAlignment="1" pivotButton="0" quotePrefix="0" xfId="3">
      <alignment horizontal="center"/>
    </xf>
    <xf numFmtId="167" fontId="1" fillId="0" borderId="22" pivotButton="0" quotePrefix="0" xfId="0"/>
    <xf numFmtId="168" fontId="1" fillId="0" borderId="22" pivotButton="0" quotePrefix="0" xfId="0"/>
    <xf numFmtId="0" fontId="0" fillId="2" borderId="11" applyAlignment="1" pivotButton="0" quotePrefix="0" xfId="3">
      <alignment horizontal="center"/>
    </xf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0" fontId="1" fillId="2" borderId="6" applyAlignment="1" pivotButton="0" quotePrefix="0" xfId="0">
      <alignment horizontal="center" vertical="center" wrapText="1"/>
    </xf>
    <xf numFmtId="164" fontId="0" fillId="6" borderId="8" applyAlignment="1" pivotButton="0" quotePrefix="0" xfId="3">
      <alignment horizontal="center"/>
    </xf>
    <xf numFmtId="164" fontId="0" fillId="6" borderId="11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0" fontId="0" fillId="2" borderId="58" applyAlignment="1" pivotButton="0" quotePrefix="0" xfId="3">
      <alignment horizontal="center"/>
    </xf>
    <xf numFmtId="164" fontId="15" fillId="0" borderId="0" applyAlignment="1" pivotButton="0" quotePrefix="0" xfId="3">
      <alignment horizontal="right"/>
    </xf>
    <xf numFmtId="0" fontId="14" fillId="12" borderId="62" applyAlignment="1" pivotButton="0" quotePrefix="0" xfId="0">
      <alignment horizontal="center"/>
    </xf>
    <xf numFmtId="3" fontId="14" fillId="12" borderId="62" applyAlignment="1" pivotButton="0" quotePrefix="0" xfId="0">
      <alignment horizontal="center" wrapText="1"/>
    </xf>
    <xf numFmtId="3" fontId="14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wrapText="1"/>
    </xf>
    <xf numFmtId="0" fontId="5" fillId="3" borderId="0" pivotButton="0" quotePrefix="0" xfId="0"/>
    <xf numFmtId="3" fontId="10" fillId="2" borderId="0" applyAlignment="1" pivotButton="0" quotePrefix="0" xfId="0">
      <alignment horizontal="center"/>
    </xf>
    <xf numFmtId="9" fontId="10" fillId="2" borderId="0" applyAlignment="1" pivotButton="0" quotePrefix="0" xfId="6">
      <alignment horizontal="center"/>
    </xf>
    <xf numFmtId="3" fontId="9" fillId="2" borderId="0" applyAlignment="1" pivotButton="0" quotePrefix="0" xfId="3">
      <alignment horizontal="center" vertical="center"/>
    </xf>
    <xf numFmtId="3" fontId="10" fillId="2" borderId="0" applyAlignment="1" pivotButton="0" quotePrefix="0" xfId="3">
      <alignment horizontal="center" vertical="center"/>
    </xf>
    <xf numFmtId="3" fontId="9" fillId="2" borderId="0" applyAlignment="1" pivotButton="0" quotePrefix="0" xfId="0">
      <alignment horizontal="center"/>
    </xf>
    <xf numFmtId="164" fontId="1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4" fontId="10" fillId="0" borderId="0" pivotButton="0" quotePrefix="0" xfId="3"/>
    <xf numFmtId="0" fontId="10" fillId="0" borderId="4" pivotButton="0" quotePrefix="0" xfId="0"/>
    <xf numFmtId="164" fontId="10" fillId="0" borderId="4" pivotButton="0" quotePrefix="0" xfId="3"/>
    <xf numFmtId="0" fontId="9" fillId="2" borderId="55" applyAlignment="1" pivotButton="0" quotePrefix="0" xfId="0">
      <alignment horizontal="center"/>
    </xf>
    <xf numFmtId="0" fontId="9" fillId="2" borderId="56" applyAlignment="1" pivotButton="0" quotePrefix="0" xfId="0">
      <alignment horizontal="center"/>
    </xf>
    <xf numFmtId="0" fontId="9" fillId="2" borderId="57" applyAlignment="1" pivotButton="0" quotePrefix="0" xfId="0">
      <alignment horizontal="center"/>
    </xf>
    <xf numFmtId="3" fontId="10" fillId="0" borderId="40" applyAlignment="1" pivotButton="0" quotePrefix="0" xfId="0">
      <alignment horizontal="center"/>
    </xf>
    <xf numFmtId="3" fontId="9" fillId="0" borderId="40" applyAlignment="1" pivotButton="0" quotePrefix="0" xfId="0">
      <alignment horizontal="center"/>
    </xf>
    <xf numFmtId="9" fontId="10" fillId="0" borderId="40" applyAlignment="1" pivotButton="0" quotePrefix="0" xfId="6">
      <alignment horizontal="center"/>
    </xf>
    <xf numFmtId="0" fontId="1" fillId="0" borderId="1" applyAlignment="1" pivotButton="0" quotePrefix="0" xfId="0">
      <alignment horizontal="center"/>
    </xf>
    <xf numFmtId="0" fontId="0" fillId="0" borderId="40" pivotButton="0" quotePrefix="0" xfId="0"/>
    <xf numFmtId="164" fontId="10" fillId="0" borderId="0" pivotButton="0" quotePrefix="0" xfId="3"/>
    <xf numFmtId="164" fontId="10" fillId="0" borderId="4" pivotButton="0" quotePrefix="0" xfId="3"/>
    <xf numFmtId="164" fontId="0" fillId="0" borderId="0" pivotButton="0" quotePrefix="0" xfId="3"/>
    <xf numFmtId="164" fontId="10" fillId="0" borderId="0" applyAlignment="1" pivotButton="0" quotePrefix="0" xfId="3">
      <alignment horizontal="center" vertical="center"/>
    </xf>
    <xf numFmtId="164" fontId="10" fillId="2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/>
    </xf>
    <xf numFmtId="164" fontId="0" fillId="2" borderId="0" applyAlignment="1" pivotButton="0" quotePrefix="0" xfId="3">
      <alignment horizontal="center" vertical="center"/>
    </xf>
    <xf numFmtId="164" fontId="0" fillId="2" borderId="0" pivotButton="0" quotePrefix="0" xfId="3"/>
    <xf numFmtId="168" fontId="0" fillId="0" borderId="0" pivotButton="0" quotePrefix="0" xfId="0"/>
    <xf numFmtId="0" fontId="0" fillId="0" borderId="66" pivotButton="0" quotePrefix="0" xfId="0"/>
    <xf numFmtId="164" fontId="0" fillId="0" borderId="9" applyAlignment="1" pivotButton="0" quotePrefix="0" xfId="3">
      <alignment horizontal="center"/>
    </xf>
    <xf numFmtId="164" fontId="0" fillId="0" borderId="18" applyAlignment="1" pivotButton="0" quotePrefix="0" xfId="3">
      <alignment horizontal="center"/>
    </xf>
    <xf numFmtId="165" fontId="0" fillId="0" borderId="9" applyAlignment="1" pivotButton="0" quotePrefix="0" xfId="5">
      <alignment horizontal="center"/>
    </xf>
    <xf numFmtId="165" fontId="0" fillId="0" borderId="9" pivotButton="0" quotePrefix="0" xfId="5"/>
    <xf numFmtId="165" fontId="0" fillId="0" borderId="10" pivotButton="0" quotePrefix="0" xfId="5"/>
    <xf numFmtId="164" fontId="0" fillId="0" borderId="10" applyAlignment="1" pivotButton="0" quotePrefix="0" xfId="3">
      <alignment horizontal="center"/>
    </xf>
    <xf numFmtId="164" fontId="0" fillId="6" borderId="8" applyAlignment="1" pivotButton="0" quotePrefix="0" xfId="3">
      <alignment horizontal="center"/>
    </xf>
    <xf numFmtId="164" fontId="0" fillId="0" borderId="29" applyAlignment="1" pivotButton="0" quotePrefix="0" xfId="3">
      <alignment horizontal="center"/>
    </xf>
    <xf numFmtId="164" fontId="0" fillId="6" borderId="34" applyAlignment="1" pivotButton="0" quotePrefix="0" xfId="0">
      <alignment horizontal="center"/>
    </xf>
    <xf numFmtId="164" fontId="0" fillId="0" borderId="60" applyAlignment="1" pivotButton="0" quotePrefix="0" xfId="3">
      <alignment horizontal="center"/>
    </xf>
    <xf numFmtId="164" fontId="0" fillId="0" borderId="12" applyAlignment="1" pivotButton="0" quotePrefix="0" xfId="3">
      <alignment horizontal="center"/>
    </xf>
    <xf numFmtId="165" fontId="0" fillId="0" borderId="12" applyAlignment="1" pivotButton="0" quotePrefix="0" xfId="5">
      <alignment horizontal="center"/>
    </xf>
    <xf numFmtId="165" fontId="0" fillId="0" borderId="12" pivotButton="0" quotePrefix="0" xfId="5"/>
    <xf numFmtId="165" fontId="0" fillId="0" borderId="13" pivotButton="0" quotePrefix="0" xfId="5"/>
    <xf numFmtId="164" fontId="0" fillId="6" borderId="11" applyAlignment="1" pivotButton="0" quotePrefix="0" xfId="3">
      <alignment horizontal="center"/>
    </xf>
    <xf numFmtId="164" fontId="0" fillId="0" borderId="61" applyAlignment="1" pivotButton="0" quotePrefix="0" xfId="3">
      <alignment horizontal="center"/>
    </xf>
    <xf numFmtId="164" fontId="0" fillId="0" borderId="30" applyAlignment="1" pivotButton="0" quotePrefix="0" xfId="3">
      <alignment horizontal="center"/>
    </xf>
    <xf numFmtId="164" fontId="0" fillId="6" borderId="35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4" fontId="0" fillId="0" borderId="8" applyAlignment="1" pivotButton="0" quotePrefix="0" xfId="3">
      <alignment horizontal="center"/>
    </xf>
    <xf numFmtId="164" fontId="0" fillId="0" borderId="34" applyAlignment="1" pivotButton="0" quotePrefix="0" xfId="3">
      <alignment horizontal="center"/>
    </xf>
    <xf numFmtId="164" fontId="0" fillId="0" borderId="11" applyAlignment="1" pivotButton="0" quotePrefix="0" xfId="3">
      <alignment horizontal="center"/>
    </xf>
    <xf numFmtId="164" fontId="0" fillId="0" borderId="35" applyAlignment="1" pivotButton="0" quotePrefix="0" xfId="3">
      <alignment horizontal="center"/>
    </xf>
    <xf numFmtId="164" fontId="15" fillId="0" borderId="22" pivotButton="0" quotePrefix="0" xfId="3"/>
    <xf numFmtId="164" fontId="15" fillId="0" borderId="22" applyAlignment="1" pivotButton="0" quotePrefix="0" xfId="3">
      <alignment horizontal="right"/>
    </xf>
    <xf numFmtId="164" fontId="15" fillId="0" borderId="0" applyAlignment="1" pivotButton="0" quotePrefix="0" xfId="3">
      <alignment horizontal="right"/>
    </xf>
    <xf numFmtId="167" fontId="0" fillId="4" borderId="9" applyAlignment="1" pivotButton="0" quotePrefix="0" xfId="3">
      <alignment horizontal="center" vertical="center"/>
    </xf>
    <xf numFmtId="164" fontId="0" fillId="0" borderId="9" pivotButton="0" quotePrefix="0" xfId="3"/>
    <xf numFmtId="164" fontId="0" fillId="0" borderId="9" applyAlignment="1" pivotButton="0" quotePrefix="0" xfId="0">
      <alignment horizontal="center" vertical="center"/>
    </xf>
    <xf numFmtId="164" fontId="0" fillId="0" borderId="9" pivotButton="0" quotePrefix="0" xfId="0"/>
    <xf numFmtId="168" fontId="0" fillId="0" borderId="9" pivotButton="0" quotePrefix="0" xfId="0"/>
    <xf numFmtId="168" fontId="0" fillId="0" borderId="10" pivotButton="0" quotePrefix="0" xfId="0"/>
    <xf numFmtId="165" fontId="0" fillId="0" borderId="1" pivotButton="0" quotePrefix="0" xfId="5"/>
    <xf numFmtId="169" fontId="0" fillId="0" borderId="1" pivotButton="0" quotePrefix="0" xfId="5"/>
    <xf numFmtId="164" fontId="0" fillId="0" borderId="1" pivotButton="0" quotePrefix="0" xfId="3"/>
    <xf numFmtId="170" fontId="0" fillId="0" borderId="1" pivotButton="0" quotePrefix="0" xfId="5"/>
    <xf numFmtId="167" fontId="0" fillId="4" borderId="12" applyAlignment="1" pivotButton="0" quotePrefix="0" xfId="3">
      <alignment horizontal="center" vertical="center"/>
    </xf>
    <xf numFmtId="164" fontId="0" fillId="0" borderId="12" pivotButton="0" quotePrefix="0" xfId="3"/>
    <xf numFmtId="164" fontId="0" fillId="0" borderId="12" applyAlignment="1" pivotButton="0" quotePrefix="0" xfId="0">
      <alignment horizontal="center" vertical="center"/>
    </xf>
    <xf numFmtId="164" fontId="0" fillId="0" borderId="12" pivotButton="0" quotePrefix="0" xfId="0"/>
    <xf numFmtId="168" fontId="0" fillId="0" borderId="12" pivotButton="0" quotePrefix="0" xfId="0"/>
    <xf numFmtId="168" fontId="0" fillId="0" borderId="13" pivotButton="0" quotePrefix="0" xfId="0"/>
    <xf numFmtId="167" fontId="1" fillId="0" borderId="22" pivotButton="0" quotePrefix="0" xfId="0"/>
    <xf numFmtId="168" fontId="1" fillId="0" borderId="22" pivotButton="0" quotePrefix="0" xfId="0"/>
    <xf numFmtId="164" fontId="0" fillId="4" borderId="0" applyAlignment="1" pivotButton="0" quotePrefix="0" xfId="3">
      <alignment horizontal="center" vertical="center"/>
    </xf>
    <xf numFmtId="167" fontId="8" fillId="0" borderId="0" pivotButton="0" quotePrefix="0" xfId="3"/>
    <xf numFmtId="165" fontId="0" fillId="5" borderId="1" pivotButton="0" quotePrefix="0" xfId="5"/>
    <xf numFmtId="169" fontId="0" fillId="5" borderId="1" pivotButton="0" quotePrefix="0" xfId="5"/>
    <xf numFmtId="164" fontId="0" fillId="5" borderId="1" pivotButton="0" quotePrefix="0" xfId="3"/>
    <xf numFmtId="171" fontId="8" fillId="0" borderId="0" pivotButton="0" quotePrefix="0" xfId="3"/>
    <xf numFmtId="168" fontId="8" fillId="0" borderId="0" pivotButton="0" quotePrefix="0" xfId="0"/>
    <xf numFmtId="167" fontId="0" fillId="0" borderId="6" pivotButton="0" quotePrefix="0" xfId="3"/>
    <xf numFmtId="167" fontId="0" fillId="0" borderId="7" pivotButton="0" quotePrefix="0" xfId="0"/>
    <xf numFmtId="167" fontId="0" fillId="0" borderId="9" pivotButton="0" quotePrefix="0" xfId="3"/>
    <xf numFmtId="167" fontId="0" fillId="0" borderId="10" pivotButton="0" quotePrefix="0" xfId="0"/>
    <xf numFmtId="167" fontId="0" fillId="0" borderId="12" pivotButton="0" quotePrefix="0" xfId="3"/>
    <xf numFmtId="167" fontId="0" fillId="0" borderId="13" pivotButton="0" quotePrefix="0" xfId="0"/>
    <xf numFmtId="164" fontId="5" fillId="3" borderId="14" applyAlignment="1" pivotButton="0" quotePrefix="0" xfId="3">
      <alignment horizontal="center" vertical="center"/>
    </xf>
    <xf numFmtId="164" fontId="5" fillId="3" borderId="15" applyAlignment="1" pivotButton="0" quotePrefix="0" xfId="3">
      <alignment horizontal="center" vertical="center"/>
    </xf>
    <xf numFmtId="164" fontId="5" fillId="3" borderId="16" applyAlignment="1" pivotButton="0" quotePrefix="0" xfId="3">
      <alignment horizontal="center" vertical="center"/>
    </xf>
    <xf numFmtId="167" fontId="0" fillId="0" borderId="32" pivotButton="0" quotePrefix="0" xfId="3"/>
    <xf numFmtId="167" fontId="0" fillId="0" borderId="25" pivotButton="0" quotePrefix="0" xfId="3"/>
    <xf numFmtId="167" fontId="0" fillId="0" borderId="26" pivotButton="0" quotePrefix="0" xfId="3"/>
    <xf numFmtId="167" fontId="5" fillId="3" borderId="15" applyAlignment="1" pivotButton="0" quotePrefix="0" xfId="3">
      <alignment horizontal="center" vertical="center"/>
    </xf>
    <xf numFmtId="167" fontId="5" fillId="3" borderId="16" applyAlignment="1" pivotButton="0" quotePrefix="0" xfId="3">
      <alignment horizontal="center" vertical="center"/>
    </xf>
    <xf numFmtId="167" fontId="5" fillId="0" borderId="0" applyAlignment="1" pivotButton="0" quotePrefix="0" xfId="3">
      <alignment horizontal="center" vertical="center"/>
    </xf>
    <xf numFmtId="167" fontId="0" fillId="0" borderId="19" pivotButton="0" quotePrefix="0" xfId="0"/>
    <xf numFmtId="167" fontId="0" fillId="0" borderId="27" pivotButton="0" quotePrefix="0" xfId="3"/>
    <xf numFmtId="167" fontId="0" fillId="0" borderId="23" pivotButton="0" quotePrefix="0" xfId="3"/>
    <xf numFmtId="167" fontId="0" fillId="0" borderId="36" pivotButton="0" quotePrefix="0" xfId="3"/>
    <xf numFmtId="167" fontId="0" fillId="0" borderId="37" pivotButton="0" quotePrefix="0" xfId="0"/>
    <xf numFmtId="167" fontId="5" fillId="3" borderId="20" applyAlignment="1" pivotButton="0" quotePrefix="0" xfId="3">
      <alignment horizontal="center" vertical="center"/>
    </xf>
    <xf numFmtId="167" fontId="5" fillId="3" borderId="21" applyAlignment="1" pivotButton="0" quotePrefix="0" xfId="3">
      <alignment horizontal="center" vertical="center"/>
    </xf>
    <xf numFmtId="167" fontId="1" fillId="2" borderId="0" applyAlignment="1" pivotButton="0" quotePrefix="0" xfId="3">
      <alignment horizontal="center" vertical="center"/>
    </xf>
    <xf numFmtId="167" fontId="1" fillId="0" borderId="0" applyAlignment="1" pivotButton="0" quotePrefix="0" xfId="3">
      <alignment horizontal="center" vertical="center"/>
    </xf>
    <xf numFmtId="167" fontId="5" fillId="3" borderId="6" applyAlignment="1" pivotButton="0" quotePrefix="0" xfId="3">
      <alignment horizontal="center" vertical="center"/>
    </xf>
    <xf numFmtId="167" fontId="5" fillId="3" borderId="1" applyAlignment="1" pivotButton="0" quotePrefix="0" xfId="3">
      <alignment horizontal="center" vertical="center"/>
    </xf>
    <xf numFmtId="167" fontId="5" fillId="3" borderId="12" applyAlignment="1" pivotButton="0" quotePrefix="0" xfId="3">
      <alignment horizontal="center" vertical="center"/>
    </xf>
    <xf numFmtId="167" fontId="1" fillId="2" borderId="15" applyAlignment="1" pivotButton="0" quotePrefix="0" xfId="3">
      <alignment horizontal="center" vertical="center"/>
    </xf>
    <xf numFmtId="167" fontId="1" fillId="4" borderId="15" applyAlignment="1" pivotButton="0" quotePrefix="0" xfId="3">
      <alignment horizontal="center" vertical="center"/>
    </xf>
    <xf numFmtId="167" fontId="1" fillId="2" borderId="16" applyAlignment="1" pivotButton="0" quotePrefix="0" xfId="3">
      <alignment horizontal="center" vertical="center"/>
    </xf>
    <xf numFmtId="167" fontId="1" fillId="4" borderId="31" applyAlignment="1" pivotButton="0" quotePrefix="0" xfId="3">
      <alignment horizontal="center" vertical="center"/>
    </xf>
    <xf numFmtId="167" fontId="1" fillId="2" borderId="31" applyAlignment="1" pivotButton="0" quotePrefix="0" xfId="3">
      <alignment horizontal="center" vertical="center"/>
    </xf>
    <xf numFmtId="167" fontId="0" fillId="0" borderId="33" pivotButton="0" quotePrefix="0" xfId="0"/>
    <xf numFmtId="168" fontId="1" fillId="0" borderId="0" pivotButton="0" quotePrefix="0" xfId="0"/>
    <xf numFmtId="167" fontId="7" fillId="0" borderId="9" pivotButton="0" quotePrefix="0" xfId="3"/>
    <xf numFmtId="167" fontId="0" fillId="0" borderId="34" pivotButton="0" quotePrefix="0" xfId="0"/>
    <xf numFmtId="168" fontId="7" fillId="0" borderId="0" pivotButton="0" quotePrefix="0" xfId="0"/>
    <xf numFmtId="167" fontId="7" fillId="0" borderId="12" pivotButton="0" quotePrefix="0" xfId="3"/>
    <xf numFmtId="167" fontId="0" fillId="0" borderId="35" pivotButton="0" quotePrefix="0" xfId="0"/>
    <xf numFmtId="167" fontId="0" fillId="0" borderId="0" pivotButton="0" quotePrefix="0" xfId="3"/>
    <xf numFmtId="168" fontId="1" fillId="7" borderId="0" pivotButton="0" quotePrefix="0" xfId="0"/>
    <xf numFmtId="0" fontId="9" fillId="2" borderId="41" applyAlignment="1" pivotButton="0" quotePrefix="0" xfId="0">
      <alignment horizontal="center"/>
    </xf>
    <xf numFmtId="0" fontId="0" fillId="0" borderId="56" pivotButton="0" quotePrefix="0" xfId="0"/>
    <xf numFmtId="0" fontId="0" fillId="0" borderId="57" pivotButton="0" quotePrefix="0" xfId="0"/>
    <xf numFmtId="167" fontId="10" fillId="8" borderId="6" pivotButton="0" quotePrefix="0" xfId="3"/>
    <xf numFmtId="167" fontId="10" fillId="8" borderId="32" pivotButton="0" quotePrefix="0" xfId="3"/>
    <xf numFmtId="167" fontId="10" fillId="8" borderId="7" pivotButton="0" quotePrefix="0" xfId="0"/>
    <xf numFmtId="167" fontId="10" fillId="0" borderId="0" pivotButton="0" quotePrefix="0" xfId="0"/>
    <xf numFmtId="167" fontId="10" fillId="0" borderId="9" pivotButton="0" quotePrefix="0" xfId="3"/>
    <xf numFmtId="167" fontId="10" fillId="0" borderId="25" pivotButton="0" quotePrefix="0" xfId="3"/>
    <xf numFmtId="167" fontId="10" fillId="0" borderId="10" pivotButton="0" quotePrefix="0" xfId="0"/>
    <xf numFmtId="167" fontId="10" fillId="0" borderId="12" pivotButton="0" quotePrefix="0" xfId="3"/>
    <xf numFmtId="167" fontId="10" fillId="0" borderId="26" pivotButton="0" quotePrefix="0" xfId="3"/>
    <xf numFmtId="167" fontId="10" fillId="0" borderId="13" pivotButton="0" quotePrefix="0" xfId="0"/>
    <xf numFmtId="167" fontId="10" fillId="0" borderId="19" pivotButton="0" quotePrefix="0" xfId="0"/>
    <xf numFmtId="167" fontId="10" fillId="0" borderId="27" pivotButton="0" quotePrefix="0" xfId="3"/>
    <xf numFmtId="167" fontId="10" fillId="8" borderId="9" pivotButton="0" quotePrefix="0" xfId="3"/>
    <xf numFmtId="167" fontId="10" fillId="8" borderId="27" pivotButton="0" quotePrefix="0" xfId="3"/>
    <xf numFmtId="167" fontId="10" fillId="8" borderId="19" pivotButton="0" quotePrefix="0" xfId="0"/>
    <xf numFmtId="167" fontId="10" fillId="0" borderId="23" pivotButton="0" quotePrefix="0" xfId="3"/>
    <xf numFmtId="167" fontId="10" fillId="0" borderId="36" pivotButton="0" quotePrefix="0" xfId="3"/>
    <xf numFmtId="167" fontId="10" fillId="0" borderId="37" pivotButton="0" quotePrefix="0" xfId="0"/>
    <xf numFmtId="167" fontId="9" fillId="2" borderId="54" applyAlignment="1" pivotButton="0" quotePrefix="0" xfId="3">
      <alignment horizontal="center" vertical="center"/>
    </xf>
    <xf numFmtId="167" fontId="11" fillId="2" borderId="53" applyAlignment="1" pivotButton="0" quotePrefix="0" xfId="3">
      <alignment horizontal="center" vertical="center"/>
    </xf>
    <xf numFmtId="167" fontId="9" fillId="2" borderId="15" applyAlignment="1" pivotButton="0" quotePrefix="0" xfId="3">
      <alignment horizontal="center" vertical="center"/>
    </xf>
    <xf numFmtId="167" fontId="9" fillId="8" borderId="15" applyAlignment="1" pivotButton="0" quotePrefix="0" xfId="3">
      <alignment horizontal="center" vertical="center"/>
    </xf>
    <xf numFmtId="167" fontId="10" fillId="0" borderId="6" pivotButton="0" quotePrefix="0" xfId="3"/>
    <xf numFmtId="167" fontId="10" fillId="0" borderId="32" pivotButton="0" quotePrefix="0" xfId="3"/>
    <xf numFmtId="167" fontId="10" fillId="0" borderId="33" pivotButton="0" quotePrefix="0" xfId="0"/>
    <xf numFmtId="167" fontId="9" fillId="0" borderId="0" applyAlignment="1" pivotButton="0" quotePrefix="0" xfId="3">
      <alignment horizontal="center" vertical="center"/>
    </xf>
    <xf numFmtId="167" fontId="9" fillId="0" borderId="12" pivotButton="0" quotePrefix="0" xfId="3"/>
    <xf numFmtId="167" fontId="10" fillId="0" borderId="35" pivotButton="0" quotePrefix="0" xfId="0"/>
    <xf numFmtId="167" fontId="0" fillId="0" borderId="20" pivotButton="0" quotePrefix="0" xfId="3"/>
    <xf numFmtId="167" fontId="7" fillId="0" borderId="20" pivotButton="0" quotePrefix="0" xfId="3"/>
    <xf numFmtId="167" fontId="0" fillId="0" borderId="22" pivotButton="0" quotePrefix="0" xfId="0"/>
    <xf numFmtId="167" fontId="11" fillId="2" borderId="54" applyAlignment="1" pivotButton="0" quotePrefix="0" xfId="3">
      <alignment horizontal="center" vertical="center"/>
    </xf>
    <xf numFmtId="167" fontId="11" fillId="7" borderId="53" applyAlignment="1" pivotButton="0" quotePrefix="0" xfId="3">
      <alignment horizontal="center" vertical="center"/>
    </xf>
    <xf numFmtId="164" fontId="0" fillId="4" borderId="0" pivotButton="0" quotePrefix="0" xfId="3"/>
    <xf numFmtId="167" fontId="0" fillId="4" borderId="0" pivotButton="0" quotePrefix="0" xfId="3"/>
    <xf numFmtId="168" fontId="0" fillId="4" borderId="0" pivotButton="0" quotePrefix="0" xfId="0"/>
    <xf numFmtId="167" fontId="0" fillId="5" borderId="0" pivotButton="0" quotePrefix="0" xfId="3"/>
    <xf numFmtId="168" fontId="0" fillId="5" borderId="0" pivotButton="0" quotePrefix="0" xfId="0"/>
    <xf numFmtId="164" fontId="0" fillId="4" borderId="4" pivotButton="0" quotePrefix="0" xfId="3"/>
    <xf numFmtId="164" fontId="1" fillId="4" borderId="4" pivotButton="0" quotePrefix="0" xfId="3"/>
    <xf numFmtId="0" fontId="0" fillId="14" borderId="0" pivotButton="0" quotePrefix="0" xfId="0"/>
    <xf numFmtId="0" fontId="5" fillId="14" borderId="1" applyAlignment="1" pivotButton="0" quotePrefix="0" xfId="0">
      <alignment horizontal="center" vertical="center"/>
    </xf>
    <xf numFmtId="0" fontId="5" fillId="14" borderId="14" applyAlignment="1" pivotButton="0" quotePrefix="0" xfId="0">
      <alignment horizontal="center" vertical="center"/>
    </xf>
    <xf numFmtId="0" fontId="5" fillId="14" borderId="15" applyAlignment="1" pivotButton="0" quotePrefix="0" xfId="0">
      <alignment horizontal="center" vertical="center"/>
    </xf>
    <xf numFmtId="4" fontId="0" fillId="0" borderId="5" pivotButton="0" quotePrefix="0" xfId="0"/>
    <xf numFmtId="10" fontId="0" fillId="0" borderId="8" pivotButton="0" quotePrefix="0" xfId="0"/>
    <xf numFmtId="4" fontId="0" fillId="0" borderId="11" pivotButton="0" quotePrefix="0" xfId="0"/>
    <xf numFmtId="4" fontId="5" fillId="3" borderId="1" applyAlignment="1" pivotButton="0" quotePrefix="0" xfId="0">
      <alignment horizontal="center" vertical="center"/>
    </xf>
    <xf numFmtId="0" fontId="0" fillId="15" borderId="0" pivotButton="0" quotePrefix="0" xfId="0"/>
    <xf numFmtId="0" fontId="0" fillId="15" borderId="5" pivotButton="0" quotePrefix="0" xfId="0"/>
  </cellXfs>
  <cellStyles count="7">
    <cellStyle name="Normal" xfId="0" builtinId="0"/>
    <cellStyle name="Normal 2" xfId="1"/>
    <cellStyle name="Porcentaje 2" xfId="2"/>
    <cellStyle name="Millares [0]" xfId="3" builtinId="6"/>
    <cellStyle name="Millares [0] 2" xfId="4"/>
    <cellStyle name="Moneda [0]" xfId="5" builtinId="7"/>
    <cellStyle name="Porcentaje" xfId="6" builtinId="5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showGridLines="0" zoomScale="110" zoomScaleNormal="110" workbookViewId="0">
      <selection activeCell="B1" sqref="B1:H17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E52"/>
  <sheetViews>
    <sheetView showGridLines="0" zoomScale="89" zoomScaleNormal="85" workbookViewId="0">
      <selection activeCell="J48" sqref="J48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P17" sqref="P17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zoomScale="85" zoomScaleNormal="85" workbookViewId="0">
      <selection activeCell="Q4" sqref="Q4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S37"/>
  <sheetViews>
    <sheetView showGridLines="0" zoomScale="85" zoomScaleNormal="85" workbookViewId="0">
      <selection activeCell="E4" sqref="E4:J4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E2" t="n">
        <v>2</v>
      </c>
      <c r="F2" t="n">
        <v>2</v>
      </c>
      <c r="G2" t="n">
        <v>2</v>
      </c>
      <c r="H2" t="n">
        <v>2</v>
      </c>
      <c r="I2" t="n">
        <v>2</v>
      </c>
    </row>
    <row r="3">
      <c r="B3" s="36" t="inlineStr">
        <is>
          <t>Ingresos</t>
        </is>
      </c>
      <c r="C3" s="88" t="inlineStr">
        <is>
          <t>Mes 0</t>
        </is>
      </c>
      <c r="D3" s="69" t="inlineStr">
        <is>
          <t>Mes 1</t>
        </is>
      </c>
      <c r="E3" s="69" t="inlineStr">
        <is>
          <t>Mes 2</t>
        </is>
      </c>
      <c r="F3" s="69" t="inlineStr">
        <is>
          <t>Mes 3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B4" s="24" t="inlineStr">
        <is>
          <t>Arriendos</t>
        </is>
      </c>
      <c r="C4" s="347" t="n"/>
      <c r="D4" s="347" t="n"/>
      <c r="E4" s="347">
        <f>SUM(Arriendo!F4:F5)</f>
        <v/>
      </c>
      <c r="F4" s="347">
        <f>SUM(Arriendo!F4:F7)</f>
        <v/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B5" s="27" t="inlineStr">
        <is>
          <t>C. Fiscal Equip.</t>
        </is>
      </c>
      <c r="C5" s="28" t="n"/>
      <c r="D5" s="349" t="n"/>
      <c r="E5" s="349" t="n"/>
      <c r="F5" s="349" t="n"/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B6" s="31" t="inlineStr">
        <is>
          <t>C. Fiscal Unidades</t>
        </is>
      </c>
      <c r="C6" s="351" t="n"/>
      <c r="D6" s="351" t="n"/>
      <c r="E6" s="351" t="n"/>
      <c r="F6" s="351" t="n"/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B7" s="36" t="inlineStr">
        <is>
          <t>Total Ingresos</t>
        </is>
      </c>
      <c r="C7" s="88">
        <f>SUM(C4:C6)</f>
        <v/>
      </c>
      <c r="D7" s="69">
        <f>SUM(D4:D6)</f>
        <v/>
      </c>
      <c r="E7" s="95">
        <f>SUM(E4:E6)</f>
        <v/>
      </c>
      <c r="F7" s="95">
        <f>SUM(F4:F6)</f>
        <v/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10">
      <c r="B10" s="36" t="inlineStr">
        <is>
          <t>Egresos</t>
        </is>
      </c>
      <c r="C10" s="88" t="inlineStr">
        <is>
          <t>Mes 0</t>
        </is>
      </c>
      <c r="D10" s="69" t="inlineStr">
        <is>
          <t>Mes 1</t>
        </is>
      </c>
      <c r="E10" s="69" t="inlineStr">
        <is>
          <t>Mes 2</t>
        </is>
      </c>
      <c r="F10" s="69" t="inlineStr">
        <is>
          <t>Mes 3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B11" s="24" t="inlineStr">
        <is>
          <t>Amoblado</t>
        </is>
      </c>
      <c r="C11" s="347">
        <f>Arriendo!T7</f>
        <v/>
      </c>
      <c r="D11" s="347" t="n"/>
      <c r="E11" s="347" t="n"/>
      <c r="F11" s="347" t="n"/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inlineStr">
        <is>
          <t>Contribuciones</t>
        </is>
      </c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inlineStr">
        <is>
          <t>Dividendo</t>
        </is>
      </c>
      <c r="C13" s="349" t="n"/>
      <c r="D13" s="349">
        <f>-'Crédito Comercial 12A'!$H$8</f>
        <v/>
      </c>
      <c r="E13" s="349">
        <f>-'Crédito Comercial 12A'!$H$8</f>
        <v/>
      </c>
      <c r="F13" s="349">
        <f>-'Crédito Comercial 12A'!$H$8</f>
        <v/>
      </c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inlineStr">
        <is>
          <t>Gasto operacional</t>
        </is>
      </c>
      <c r="C14" s="349">
        <f>Arriendo!T16</f>
        <v/>
      </c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inlineStr">
        <is>
          <t>Comisión corredor</t>
        </is>
      </c>
      <c r="C15" s="349" t="n"/>
      <c r="D15" s="349" t="n"/>
      <c r="E15" s="349">
        <f>Arriendo!$R$19*2</f>
        <v/>
      </c>
      <c r="F15" s="349">
        <f>Arriendo!$R$19*2</f>
        <v/>
      </c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inlineStr">
        <is>
          <t>Gasto común</t>
        </is>
      </c>
      <c r="C16" s="349" t="n"/>
      <c r="D16" s="349">
        <f>Arriendo!$T$22</f>
        <v/>
      </c>
      <c r="E16" s="349">
        <f>Arriendo!$R$22*13</f>
        <v/>
      </c>
      <c r="F16" s="349">
        <f>Arriendo!$R$22*11</f>
        <v/>
      </c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inlineStr">
        <is>
          <t>Administración</t>
        </is>
      </c>
      <c r="C17" s="349" t="n"/>
      <c r="D17" s="349" t="n">
        <v>0</v>
      </c>
      <c r="E17" s="349">
        <f>Arriendo!$R$31*2</f>
        <v/>
      </c>
      <c r="F17" s="349">
        <f>Arriendo!$R$31*4</f>
        <v/>
      </c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inlineStr">
        <is>
          <t>Marketing</t>
        </is>
      </c>
      <c r="C18" s="349" t="n"/>
      <c r="D18" s="349" t="n">
        <v>0</v>
      </c>
      <c r="E18" s="349" t="n">
        <v>0</v>
      </c>
      <c r="F18" s="349" t="n">
        <v>0</v>
      </c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inlineStr">
        <is>
          <t>Imprevistos</t>
        </is>
      </c>
      <c r="C19" s="349" t="n"/>
      <c r="D19" s="349">
        <f>Arriendo!$T$28</f>
        <v/>
      </c>
      <c r="E19" s="349">
        <f>Arriendo!$T$28</f>
        <v/>
      </c>
      <c r="F19" s="349">
        <f>Arriendo!$T$28</f>
        <v/>
      </c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inlineStr">
        <is>
          <t>IVA</t>
        </is>
      </c>
      <c r="C20" s="351" t="n"/>
      <c r="D20" s="351" t="n"/>
      <c r="E20" s="351">
        <f>SUM(Arriendo!K4:K5)</f>
        <v/>
      </c>
      <c r="F20" s="351">
        <f>SUM(Arriendo!K4:K7)</f>
        <v/>
      </c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inlineStr">
        <is>
          <t>Total Egresos</t>
        </is>
      </c>
      <c r="C21" s="92">
        <f>SUM(C11:C20)</f>
        <v/>
      </c>
      <c r="D21" s="93">
        <f>SUM(D11:D20)</f>
        <v/>
      </c>
      <c r="E21" s="93">
        <f>SUM(E11:E20)</f>
        <v/>
      </c>
      <c r="F21" s="93">
        <f>SUM(F11:F20)</f>
        <v/>
      </c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3">
      <c r="B23" s="36" t="inlineStr">
        <is>
          <t>Flujo</t>
        </is>
      </c>
      <c r="C23" s="353">
        <f>C7-C21</f>
        <v/>
      </c>
      <c r="D23" s="354">
        <f>D7-D21</f>
        <v/>
      </c>
      <c r="E23" s="354">
        <f>E7-E21</f>
        <v/>
      </c>
      <c r="F23" s="354">
        <f>F7-F21</f>
        <v/>
      </c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inlineStr">
        <is>
          <t>Flujo acumulado</t>
        </is>
      </c>
      <c r="C24" s="353">
        <f>C23</f>
        <v/>
      </c>
      <c r="D24" s="354">
        <f>C24+D23</f>
        <v/>
      </c>
      <c r="E24" s="354">
        <f>D24+E23</f>
        <v/>
      </c>
      <c r="F24" s="354">
        <f>E24+F23</f>
        <v/>
      </c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tabSelected="1" zoomScale="77" zoomScaleNormal="100" workbookViewId="0">
      <selection activeCell="Q33" sqref="Q33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showGridLines="0" zoomScale="85" zoomScaleNormal="100" workbookViewId="0">
      <selection activeCell="D2" sqref="D2:N2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105" zoomScaleNormal="90" workbookViewId="0">
      <selection activeCell="D4" sqref="D4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topLeftCell="AQ1" zoomScale="102" workbookViewId="0">
      <selection activeCell="BL7" sqref="BL7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showGridLines="0" zoomScale="77" zoomScaleNormal="77" workbookViewId="0">
      <selection activeCell="C1" sqref="C1:O39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showGridLines="0" zoomScale="90" zoomScaleNormal="90" workbookViewId="0">
      <selection activeCell="K5" sqref="K5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zoomScale="102" workbookViewId="0">
      <selection activeCell="O9" sqref="O9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C2:K23"/>
  <sheetViews>
    <sheetView workbookViewId="0">
      <selection activeCell="A1" sqref="A1"/>
    </sheetView>
  </sheetViews>
  <sheetFormatPr baseColWidth="10" defaultRowHeight="14.4"/>
  <cols>
    <col width="6.88671875" customWidth="1" min="1" max="1"/>
    <col width="1.88671875" customWidth="1" min="2" max="2"/>
    <col width="39.88671875" bestFit="1" customWidth="1" min="3" max="3"/>
    <col width="2.77734375" customWidth="1" min="4" max="4"/>
    <col width="40.6640625" customWidth="1" min="5" max="5"/>
    <col width="3.6640625" customWidth="1" min="6" max="6"/>
    <col width="37.33203125" customWidth="1" min="7" max="7"/>
    <col width="1.5546875" customWidth="1" style="131" min="8" max="8"/>
    <col width="8.21875" customWidth="1" min="9" max="9"/>
    <col width="33.33203125" bestFit="1" customWidth="1" min="10" max="10"/>
  </cols>
  <sheetData>
    <row r="1" ht="15" customHeight="1" thickBot="1"/>
    <row r="2" ht="15" customHeight="1" thickBot="1">
      <c r="C2" s="175" t="inlineStr">
        <is>
          <t>Factores</t>
        </is>
      </c>
      <c r="D2" s="8" t="n"/>
      <c r="E2" s="164" t="inlineStr">
        <is>
          <t>Proyecto a 5 años Perfil 12</t>
        </is>
      </c>
      <c r="G2" s="164" t="inlineStr">
        <is>
          <t>Proyecto a 5 años Perfil 20</t>
        </is>
      </c>
      <c r="H2" s="173" t="n"/>
      <c r="J2" s="261" t="inlineStr">
        <is>
          <t>Deuda</t>
        </is>
      </c>
      <c r="K2" s="261" t="inlineStr">
        <is>
          <t>Monto (UF)</t>
        </is>
      </c>
    </row>
    <row r="3" ht="6.6" customHeight="1">
      <c r="C3" s="172" t="n"/>
      <c r="D3" s="172" t="n"/>
      <c r="E3" s="173" t="n"/>
      <c r="F3" s="131" t="n"/>
      <c r="G3" s="173" t="n"/>
      <c r="H3" s="173" t="n"/>
    </row>
    <row r="4">
      <c r="C4" s="179" t="inlineStr">
        <is>
          <t>Cant. Deptos</t>
        </is>
      </c>
      <c r="D4" s="176" t="n"/>
      <c r="E4" s="277" t="n">
        <v>15</v>
      </c>
      <c r="F4" s="281" t="n"/>
      <c r="G4" s="281" t="n"/>
      <c r="H4" s="262" t="n"/>
      <c r="J4" s="167" t="inlineStr">
        <is>
          <t xml:space="preserve">Deuda Actual </t>
        </is>
      </c>
      <c r="K4" s="282" t="n">
        <v>115446</v>
      </c>
    </row>
    <row r="5">
      <c r="C5" s="180" t="inlineStr">
        <is>
          <t>Valor Total Lista Deptos + Est + Bod</t>
        </is>
      </c>
      <c r="D5" s="177" t="n"/>
      <c r="E5" s="277">
        <f>'IVA Dptos'!$F$48</f>
        <v/>
      </c>
      <c r="F5" s="281" t="n"/>
      <c r="G5" s="281" t="n"/>
      <c r="H5" s="262" t="n"/>
      <c r="J5" s="167" t="inlineStr">
        <is>
          <t>Deptos MAISA (15)</t>
        </is>
      </c>
      <c r="K5" s="282">
        <f>'Crédito Comercial 12A'!D4</f>
        <v/>
      </c>
    </row>
    <row r="6">
      <c r="C6" s="180" t="inlineStr">
        <is>
          <t>Valor Financ. Itaú (72%)</t>
        </is>
      </c>
      <c r="D6" s="177" t="n"/>
      <c r="E6" s="277">
        <f>'Crédito Comercial 12A'!$D$3</f>
        <v/>
      </c>
      <c r="F6" s="281" t="n"/>
      <c r="G6" s="281" t="n"/>
      <c r="H6" s="262" t="n"/>
      <c r="J6" s="167" t="inlineStr">
        <is>
          <t>Deptos F.Esc/Bco Alzante/Ingreso CBR</t>
        </is>
      </c>
      <c r="K6" s="282" t="n">
        <v>46478</v>
      </c>
    </row>
    <row r="7" ht="15" customHeight="1" thickBot="1">
      <c r="C7" s="180" t="inlineStr">
        <is>
          <t>Descuento Inmobiliaria</t>
        </is>
      </c>
      <c r="D7" s="177" t="n"/>
      <c r="E7" s="279" t="n">
        <v>0.28</v>
      </c>
      <c r="F7" s="281" t="n"/>
      <c r="G7" s="281" t="n"/>
      <c r="H7" s="263" t="n"/>
      <c r="J7" s="272" t="inlineStr">
        <is>
          <t>Saldo</t>
        </is>
      </c>
      <c r="K7" s="283">
        <f>K4-K5-K6</f>
        <v/>
      </c>
    </row>
    <row r="8">
      <c r="C8" s="180" t="inlineStr">
        <is>
          <t xml:space="preserve">Cuota de Alzamiento </t>
        </is>
      </c>
      <c r="D8" s="177" t="n"/>
      <c r="E8" s="279" t="inlineStr">
        <is>
          <t>8% - Se encuentra en negociación con el stder un crédito paralelo por uf 10.000</t>
        </is>
      </c>
      <c r="F8" s="281" t="n"/>
      <c r="G8" s="281" t="n"/>
      <c r="H8" s="263" t="n"/>
      <c r="K8" s="284" t="n"/>
    </row>
    <row r="9">
      <c r="C9" s="181" t="inlineStr">
        <is>
          <t>Recuperación del IVA</t>
        </is>
      </c>
      <c r="D9" s="177" t="n"/>
      <c r="E9" s="277">
        <f>SUM('Flujo 5 años C12'!F4:F5)</f>
        <v/>
      </c>
      <c r="F9" s="281" t="n"/>
      <c r="G9" s="281" t="n"/>
      <c r="H9" s="262" t="n"/>
      <c r="K9" s="284" t="n"/>
    </row>
    <row r="10">
      <c r="C10" s="182" t="inlineStr">
        <is>
          <t xml:space="preserve">Colocación de los deptos </t>
        </is>
      </c>
      <c r="D10" s="177" t="n"/>
      <c r="E10" s="277" t="inlineStr">
        <is>
          <t>1er año, colocación en 6 meses. El resto de los años una vacancia del 10%</t>
        </is>
      </c>
      <c r="F10" s="281" t="n"/>
      <c r="G10" s="281" t="n"/>
      <c r="H10" s="262" t="n"/>
      <c r="J10" s="284" t="n"/>
      <c r="K10" s="284" t="n"/>
    </row>
    <row r="11">
      <c r="C11" s="181" t="inlineStr">
        <is>
          <t>Ingreso Total Arriendos</t>
        </is>
      </c>
      <c r="D11" s="177" t="n"/>
      <c r="E11" s="277">
        <f>'Flujo 5 años C12'!N3</f>
        <v/>
      </c>
      <c r="F11" s="281" t="n"/>
      <c r="G11" s="281" t="n"/>
      <c r="H11" s="262" t="n"/>
      <c r="J11" s="284" t="n"/>
      <c r="K11" s="284" t="n"/>
    </row>
    <row r="12">
      <c r="C12" s="182" t="inlineStr">
        <is>
          <t>Dividendos Totales</t>
        </is>
      </c>
      <c r="D12" s="177" t="n"/>
      <c r="E12" s="174">
        <f>'Flujo 5 años C12'!N13</f>
        <v/>
      </c>
      <c r="F12" s="220" t="n"/>
      <c r="G12" s="174">
        <f>'Flujo 5 años C20'!N13</f>
        <v/>
      </c>
      <c r="H12" s="264" t="n"/>
      <c r="J12" s="284" t="n"/>
      <c r="K12" s="284" t="n"/>
    </row>
    <row r="13">
      <c r="C13" s="183" t="inlineStr">
        <is>
          <t>Prepago de Capital al año 5</t>
        </is>
      </c>
      <c r="D13" s="177" t="n"/>
      <c r="E13" s="174">
        <f>'Flujo 5 años C12'!J28</f>
        <v/>
      </c>
      <c r="F13" s="220" t="n"/>
      <c r="G13" s="174">
        <f>'Flujo 5 años C20'!J28</f>
        <v/>
      </c>
      <c r="H13" s="264" t="n"/>
      <c r="J13" s="284" t="n"/>
    </row>
    <row r="14">
      <c r="C14" s="183" t="inlineStr">
        <is>
          <t>Necesidad de nuevo financiamiento</t>
        </is>
      </c>
      <c r="D14" s="177" t="n"/>
      <c r="E14" s="170">
        <f>'Flujo 5 años C12'!N30</f>
        <v/>
      </c>
      <c r="F14" s="171" t="n"/>
      <c r="G14" s="170">
        <f>'Flujo 5 años C20'!N30</f>
        <v/>
      </c>
      <c r="H14" s="265" t="n"/>
      <c r="J14" s="284" t="n"/>
    </row>
    <row r="15">
      <c r="C15" s="180" t="inlineStr">
        <is>
          <t>Venta al año 5 (90% del Precio de lista actual)</t>
        </is>
      </c>
      <c r="D15" s="177" t="n"/>
      <c r="E15" s="278">
        <f>'Flujo 5 años C12'!J6</f>
        <v/>
      </c>
      <c r="F15" s="281" t="n"/>
      <c r="G15" s="281" t="n"/>
      <c r="H15" s="266" t="n"/>
      <c r="J15" s="284" t="n"/>
    </row>
    <row r="16">
      <c r="C16" s="184" t="inlineStr">
        <is>
          <t>Utilidad</t>
        </is>
      </c>
      <c r="D16" s="178" t="n"/>
      <c r="E16" s="170">
        <f>'Flujo 5 años C12'!M38</f>
        <v/>
      </c>
      <c r="F16" s="171" t="n"/>
      <c r="G16" s="170">
        <f>'Flujo 5 años C20'!M38</f>
        <v/>
      </c>
      <c r="H16" s="265" t="n"/>
      <c r="J16" s="284" t="n"/>
    </row>
    <row r="17">
      <c r="C17" s="167" t="n"/>
      <c r="D17" s="167" t="n"/>
      <c r="E17" s="285" t="n"/>
      <c r="F17" s="285" t="n"/>
      <c r="G17" s="285" t="n"/>
      <c r="H17" s="286" t="n"/>
      <c r="J17" s="284" t="n"/>
    </row>
    <row r="18">
      <c r="C18" s="167" t="n"/>
      <c r="D18" s="167" t="n"/>
      <c r="E18" s="285" t="n"/>
      <c r="F18" s="285" t="n"/>
      <c r="G18" s="285" t="n"/>
      <c r="H18" s="286" t="n"/>
      <c r="J18" s="284" t="n"/>
    </row>
    <row r="19">
      <c r="C19" s="167" t="n"/>
      <c r="D19" s="167" t="n"/>
      <c r="E19" s="285" t="n"/>
      <c r="F19" s="285" t="n"/>
      <c r="G19" s="285" t="n"/>
      <c r="H19" s="286" t="n"/>
      <c r="J19" s="284" t="n"/>
    </row>
    <row r="20">
      <c r="E20" s="287" t="n"/>
      <c r="F20" s="287" t="n"/>
      <c r="G20" s="287" t="n"/>
      <c r="H20" s="288" t="n"/>
      <c r="J20" s="284" t="n"/>
    </row>
    <row r="21">
      <c r="E21" s="287" t="n"/>
      <c r="F21" s="287" t="n"/>
      <c r="G21" s="287" t="n"/>
      <c r="H21" s="288" t="n"/>
      <c r="J21" s="284" t="n"/>
    </row>
    <row r="22">
      <c r="E22" s="287" t="n"/>
      <c r="F22" s="287" t="n"/>
      <c r="G22" s="287" t="n"/>
      <c r="H22" s="288" t="n"/>
      <c r="I22" s="287" t="n"/>
      <c r="J22" s="284" t="n"/>
    </row>
    <row r="23">
      <c r="E23" s="284" t="n"/>
      <c r="F23" s="284" t="n"/>
      <c r="G23" s="284" t="n"/>
      <c r="H23" s="289" t="n"/>
      <c r="I23" s="284" t="n"/>
      <c r="J23" s="284" t="n"/>
    </row>
  </sheetData>
  <mergeCells count="9">
    <mergeCell ref="E10:G10"/>
    <mergeCell ref="E11:G11"/>
    <mergeCell ref="E5:G5"/>
    <mergeCell ref="E8:G8"/>
    <mergeCell ref="E9:G9"/>
    <mergeCell ref="E4:G4"/>
    <mergeCell ref="E15:G15"/>
    <mergeCell ref="E7:G7"/>
    <mergeCell ref="E6:G6"/>
  </mergeCells>
  <pageMargins left="0.7086614173228347" right="0.7086614173228347" top="0.7480314960629921" bottom="0.7480314960629921" header="0.3149606299212598" footer="0.3149606299212598"/>
  <pageSetup orientation="portrait" scale="68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AE52"/>
  <sheetViews>
    <sheetView workbookViewId="0">
      <selection activeCell="A1" sqref="A1"/>
    </sheetView>
  </sheetViews>
  <sheetFormatPr baseColWidth="10" defaultColWidth="11.44140625" defaultRowHeight="14.4"/>
  <cols>
    <col width="4.33203125" customWidth="1" min="1" max="1"/>
    <col width="9.77734375" bestFit="1" customWidth="1" min="2" max="2"/>
    <col width="7.5546875" bestFit="1" customWidth="1" min="3" max="3"/>
    <col width="11" bestFit="1" customWidth="1" min="4" max="4"/>
    <col width="10.33203125" bestFit="1" customWidth="1" min="5" max="5"/>
    <col width="9.6640625" customWidth="1" min="6" max="6"/>
    <col width="15.77734375" customWidth="1" min="7" max="7"/>
    <col width="14.6640625" customWidth="1" min="8" max="8"/>
    <col width="9.5546875" customWidth="1" min="9" max="10"/>
    <col width="15.5546875" customWidth="1" min="11" max="12"/>
    <col width="7" bestFit="1" customWidth="1" min="13" max="13"/>
    <col width="10.77734375" customWidth="1" min="14" max="14"/>
    <col width="7" bestFit="1" customWidth="1" min="15" max="15"/>
    <col width="9" bestFit="1" customWidth="1" min="16" max="16"/>
    <col width="14.5546875" bestFit="1" customWidth="1" min="17" max="17"/>
    <col hidden="1" width="17.33203125" customWidth="1" min="18" max="18"/>
    <col width="1.5546875" customWidth="1" min="19" max="19"/>
    <col width="15.6640625" bestFit="1" customWidth="1" min="20" max="20"/>
    <col width="1.5546875" customWidth="1" min="21" max="21"/>
    <col width="16.5546875" customWidth="1" min="22" max="22"/>
    <col width="1.5546875" customWidth="1" min="23" max="23"/>
    <col width="3.77734375" bestFit="1" customWidth="1" min="25" max="25"/>
    <col width="4.109375" customWidth="1" min="26" max="26"/>
    <col hidden="1" width="11.77734375" customWidth="1" min="27" max="27"/>
    <col width="3.6640625" customWidth="1" min="28" max="28"/>
    <col width="10.33203125" bestFit="1" customWidth="1" min="29" max="29"/>
    <col width="12.77734375" bestFit="1" customWidth="1" min="30" max="30"/>
    <col width="26.6640625" bestFit="1" customWidth="1" min="32" max="32"/>
  </cols>
  <sheetData>
    <row r="1">
      <c r="B1" t="inlineStr">
        <is>
          <t>uf tomada</t>
        </is>
      </c>
      <c r="C1">
        <f>39850</f>
        <v/>
      </c>
    </row>
    <row r="2">
      <c r="B2" t="inlineStr">
        <is>
          <t xml:space="preserve">iva </t>
        </is>
      </c>
      <c r="C2" s="20" t="n">
        <v>0.18</v>
      </c>
      <c r="H2" s="1" t="inlineStr">
        <is>
          <t>VENTA 15 DEPARTAMENTOS (INCLUYE ESTACIONAMIENTOS Y BODEGAS)</t>
        </is>
      </c>
    </row>
    <row r="3">
      <c r="B3" t="inlineStr">
        <is>
          <t>Descuento</t>
        </is>
      </c>
      <c r="C3" s="20" t="n">
        <v>0.28</v>
      </c>
      <c r="E3" s="290" t="n"/>
    </row>
    <row r="4">
      <c r="J4" s="109" t="n"/>
    </row>
    <row r="6">
      <c r="D6" s="106" t="n"/>
      <c r="E6" s="106" t="n"/>
      <c r="F6" s="106" t="n"/>
      <c r="G6" s="106" t="n"/>
      <c r="H6" s="106" t="n"/>
      <c r="I6" s="106" t="n"/>
      <c r="J6" s="106" t="n"/>
      <c r="K6" s="106" t="n"/>
      <c r="L6" s="8" t="n"/>
      <c r="M6" s="280" t="inlineStr">
        <is>
          <t>ESTACIONAMIENTO</t>
        </is>
      </c>
      <c r="N6" s="291" t="n"/>
      <c r="O6" s="280" t="inlineStr">
        <is>
          <t>BODEGA</t>
        </is>
      </c>
      <c r="P6" s="291" t="n"/>
      <c r="Q6" s="280" t="inlineStr">
        <is>
          <t>UF TOTAL</t>
        </is>
      </c>
      <c r="R6" s="10" t="inlineStr">
        <is>
          <t xml:space="preserve">COMPRADOR </t>
        </is>
      </c>
    </row>
    <row r="7" ht="45.75" customHeight="1">
      <c r="C7" s="53" t="inlineStr">
        <is>
          <t>N°</t>
        </is>
      </c>
      <c r="D7" s="54" t="inlineStr">
        <is>
          <t>Precio con dcto</t>
        </is>
      </c>
      <c r="E7" s="54" t="inlineStr">
        <is>
          <t>IVA (uf)</t>
        </is>
      </c>
      <c r="F7" s="54" t="inlineStr">
        <is>
          <t>Construcción</t>
        </is>
      </c>
      <c r="G7" s="54" t="inlineStr">
        <is>
          <t>Neto</t>
        </is>
      </c>
      <c r="H7" s="250" t="inlineStr">
        <is>
          <t>Avalúo Fiscal</t>
        </is>
      </c>
      <c r="I7" s="54" t="inlineStr">
        <is>
          <t>% A. Fiscal</t>
        </is>
      </c>
      <c r="J7" s="54" t="inlineStr">
        <is>
          <t>Valor de terreno (uf)</t>
        </is>
      </c>
      <c r="K7" s="54" t="inlineStr">
        <is>
          <t>Valor de terreno (pesos)</t>
        </is>
      </c>
      <c r="L7" s="55" t="inlineStr">
        <is>
          <t>IVA real</t>
        </is>
      </c>
      <c r="M7" s="53" t="inlineStr">
        <is>
          <t>UF</t>
        </is>
      </c>
      <c r="N7" s="55" t="inlineStr">
        <is>
          <t>28% Desc</t>
        </is>
      </c>
      <c r="O7" s="53" t="inlineStr">
        <is>
          <t>UF</t>
        </is>
      </c>
      <c r="P7" s="55" t="inlineStr">
        <is>
          <t>28% Desc</t>
        </is>
      </c>
      <c r="Q7" s="111" t="inlineStr">
        <is>
          <t>Venta Total con Dcto (D+E+B)</t>
        </is>
      </c>
      <c r="R7" s="67" t="n"/>
      <c r="S7" s="15" t="n"/>
      <c r="T7" s="235" t="inlineStr">
        <is>
          <t>Cuota Alzamiento</t>
        </is>
      </c>
      <c r="U7" s="15" t="n"/>
      <c r="V7" s="110" t="inlineStr">
        <is>
          <t>Dif. Prrecio con Dcto y Cuota de Alz</t>
        </is>
      </c>
      <c r="W7" s="15" t="n"/>
      <c r="X7" s="105" t="inlineStr">
        <is>
          <t>Precio Lista Deptos</t>
        </is>
      </c>
      <c r="Y7" s="237" t="inlineStr">
        <is>
          <t>Tip</t>
        </is>
      </c>
      <c r="AA7" t="inlineStr">
        <is>
          <t>Roles</t>
        </is>
      </c>
      <c r="AC7" s="111" t="inlineStr">
        <is>
          <t>Descuento</t>
        </is>
      </c>
      <c r="AD7" s="136" t="inlineStr">
        <is>
          <t>Venta Total Sin descuento</t>
        </is>
      </c>
    </row>
    <row r="8">
      <c r="B8">
        <f>1</f>
        <v/>
      </c>
      <c r="C8" s="243" t="n">
        <v>702</v>
      </c>
      <c r="D8" s="292">
        <f>X8-(X8*$C$3)</f>
        <v/>
      </c>
      <c r="E8" s="293">
        <f>(D8/1.18)*0.18</f>
        <v/>
      </c>
      <c r="F8" s="292">
        <f>E8/0.19</f>
        <v/>
      </c>
      <c r="G8" s="294">
        <f>(D8/(1+$C$2))*$C$1</f>
        <v/>
      </c>
      <c r="H8" s="295" t="n">
        <v>67066428</v>
      </c>
      <c r="I8" s="58">
        <f>H8/G8</f>
        <v/>
      </c>
      <c r="J8" s="292">
        <f>(D8-E8-F8)</f>
        <v/>
      </c>
      <c r="K8" s="295">
        <f>(D8-E8-F8)*$C$1</f>
        <v/>
      </c>
      <c r="L8" s="296">
        <f>E8*$C$1</f>
        <v/>
      </c>
      <c r="M8" s="37" t="n">
        <v>495</v>
      </c>
      <c r="N8" s="297">
        <f>+M8-(M8*$C$3)</f>
        <v/>
      </c>
      <c r="O8" s="37" t="n">
        <v>91</v>
      </c>
      <c r="P8" s="65">
        <f>+O8-(O8*$C$3)</f>
        <v/>
      </c>
      <c r="Q8" s="298">
        <f>(D8+N8+P8)</f>
        <v/>
      </c>
      <c r="R8" s="68" t="n"/>
      <c r="T8" s="299" t="n">
        <v>4546.400000000001</v>
      </c>
      <c r="V8" s="299">
        <f>+Q8-T8</f>
        <v/>
      </c>
      <c r="X8" s="299" t="n">
        <v>5097</v>
      </c>
      <c r="Y8" s="102" t="n">
        <v>3</v>
      </c>
      <c r="AA8" t="inlineStr">
        <is>
          <t>04940-00151</t>
        </is>
      </c>
      <c r="AC8" s="83">
        <f>+X8*$C$3</f>
        <v/>
      </c>
      <c r="AD8" s="300">
        <f>X8+M8+O8</f>
        <v/>
      </c>
    </row>
    <row r="9">
      <c r="B9">
        <f>+B8+1</f>
        <v/>
      </c>
      <c r="C9" s="243" t="n">
        <v>803</v>
      </c>
      <c r="D9" s="292">
        <f>X9-(X9*$C$3)</f>
        <v/>
      </c>
      <c r="E9" s="293">
        <f>(D9/1.18)*0.18</f>
        <v/>
      </c>
      <c r="F9" s="292">
        <f>E9/0.19</f>
        <v/>
      </c>
      <c r="G9" s="294">
        <f>(D9/(1+$C$2))*$C$1</f>
        <v/>
      </c>
      <c r="H9" s="295" t="n">
        <v>66118964</v>
      </c>
      <c r="I9" s="58">
        <f>H9/G9</f>
        <v/>
      </c>
      <c r="J9" s="292">
        <f>(D9-E9-F9)</f>
        <v/>
      </c>
      <c r="K9" s="295">
        <f>(D9-E9-F9)*$C$1</f>
        <v/>
      </c>
      <c r="L9" s="296">
        <f>E9*$C$1</f>
        <v/>
      </c>
      <c r="M9" s="37" t="n">
        <v>495</v>
      </c>
      <c r="N9" s="297">
        <f>+M9-(M9*$C$3)</f>
        <v/>
      </c>
      <c r="O9" s="37" t="n">
        <v>91</v>
      </c>
      <c r="P9" s="65">
        <f>+O9-(O9*$C$3)</f>
        <v/>
      </c>
      <c r="Q9" s="298">
        <f>(D9+N9+P9)</f>
        <v/>
      </c>
      <c r="R9" s="68" t="n"/>
      <c r="T9" s="299" t="n">
        <v>4572.8</v>
      </c>
      <c r="V9" s="299">
        <f>+Q9-T9</f>
        <v/>
      </c>
      <c r="X9" s="299" t="n">
        <v>5130</v>
      </c>
      <c r="Y9" s="102" t="n">
        <v>3</v>
      </c>
      <c r="AA9" t="inlineStr">
        <is>
          <t>04940-00150</t>
        </is>
      </c>
      <c r="AC9" s="83">
        <f>+X9*$C$3</f>
        <v/>
      </c>
      <c r="AD9" s="300">
        <f>X9+M9+O9</f>
        <v/>
      </c>
    </row>
    <row r="10">
      <c r="B10">
        <f>+B9+1</f>
        <v/>
      </c>
      <c r="C10" s="243" t="n">
        <v>903</v>
      </c>
      <c r="D10" s="292">
        <f>X10-(X10*$C$3)</f>
        <v/>
      </c>
      <c r="E10" s="293">
        <f>(D10/1.18)*0.18</f>
        <v/>
      </c>
      <c r="F10" s="292">
        <f>E10/0.19</f>
        <v/>
      </c>
      <c r="G10" s="294">
        <f>(D10/(1+$C$2))*$C$1</f>
        <v/>
      </c>
      <c r="H10" s="295" t="n">
        <v>66118964</v>
      </c>
      <c r="I10" s="58">
        <f>H10/G10</f>
        <v/>
      </c>
      <c r="J10" s="292">
        <f>(D10-E10-F10)</f>
        <v/>
      </c>
      <c r="K10" s="295">
        <f>(D10-E10-F10)*$C$1</f>
        <v/>
      </c>
      <c r="L10" s="296">
        <f>E10*$C$1</f>
        <v/>
      </c>
      <c r="M10" s="37" t="n">
        <v>495</v>
      </c>
      <c r="N10" s="297">
        <f>+M10-(M10*$C$3)</f>
        <v/>
      </c>
      <c r="O10" s="37" t="n">
        <v>91</v>
      </c>
      <c r="P10" s="65">
        <f>+O10-(O10*$C$3)</f>
        <v/>
      </c>
      <c r="Q10" s="298">
        <f>(D10+N10+P10)</f>
        <v/>
      </c>
      <c r="R10" s="68" t="n"/>
      <c r="T10" s="299" t="n">
        <v>4733.6</v>
      </c>
      <c r="V10" s="299">
        <f>+Q10-T10</f>
        <v/>
      </c>
      <c r="X10" s="299" t="n">
        <v>5331</v>
      </c>
      <c r="Y10" s="102" t="n">
        <v>3</v>
      </c>
      <c r="AA10" t="inlineStr">
        <is>
          <t>04940-00155</t>
        </is>
      </c>
      <c r="AC10" s="83">
        <f>+X10*$C$3</f>
        <v/>
      </c>
      <c r="AD10" s="300">
        <f>X10+M10+O10</f>
        <v/>
      </c>
    </row>
    <row r="11">
      <c r="B11">
        <f>+B10+1</f>
        <v/>
      </c>
      <c r="C11" s="243" t="n">
        <v>1002</v>
      </c>
      <c r="D11" s="292">
        <f>X11-(X11*$C$3)</f>
        <v/>
      </c>
      <c r="E11" s="293">
        <f>(D11/1.18)*0.18</f>
        <v/>
      </c>
      <c r="F11" s="292">
        <f>E11/0.19</f>
        <v/>
      </c>
      <c r="G11" s="294">
        <f>(D11/(1+$C$2))*$C$1</f>
        <v/>
      </c>
      <c r="H11" s="295" t="n">
        <v>67066428</v>
      </c>
      <c r="I11" s="58">
        <f>H11/G11</f>
        <v/>
      </c>
      <c r="J11" s="292">
        <f>(D11-E11-F11)</f>
        <v/>
      </c>
      <c r="K11" s="295">
        <f>(D11-E11-F11)*$C$1</f>
        <v/>
      </c>
      <c r="L11" s="296">
        <f>E11*$C$1</f>
        <v/>
      </c>
      <c r="M11" s="37" t="n">
        <v>495</v>
      </c>
      <c r="N11" s="297">
        <f>+M11-(M11*$C$3)</f>
        <v/>
      </c>
      <c r="O11" s="37" t="n">
        <v>91</v>
      </c>
      <c r="P11" s="65">
        <f>+O11-(O11*$C$3)</f>
        <v/>
      </c>
      <c r="Q11" s="298">
        <f>(D11+N11+P11)</f>
        <v/>
      </c>
      <c r="R11" s="68" t="n"/>
      <c r="T11" s="299" t="n">
        <v>4641.6</v>
      </c>
      <c r="V11" s="299">
        <f>+Q11-T11</f>
        <v/>
      </c>
      <c r="X11" s="299" t="n">
        <v>5216</v>
      </c>
      <c r="Y11" s="102" t="n">
        <v>3</v>
      </c>
      <c r="AA11" t="inlineStr">
        <is>
          <t>04940-00160</t>
        </is>
      </c>
      <c r="AC11" s="83">
        <f>+X11*$C$3</f>
        <v/>
      </c>
      <c r="AD11" s="300">
        <f>X11+M11+O11</f>
        <v/>
      </c>
    </row>
    <row r="12">
      <c r="B12">
        <f>+B11+1</f>
        <v/>
      </c>
      <c r="C12" s="243" t="n">
        <v>1003</v>
      </c>
      <c r="D12" s="292">
        <f>X12-(X12*$C$3)</f>
        <v/>
      </c>
      <c r="E12" s="293">
        <f>(D12/1.18)*0.18</f>
        <v/>
      </c>
      <c r="F12" s="292">
        <f>E12/0.19</f>
        <v/>
      </c>
      <c r="G12" s="294">
        <f>(D12/(1+$C$2))*$C$1</f>
        <v/>
      </c>
      <c r="H12" s="295" t="n">
        <v>66118964</v>
      </c>
      <c r="I12" s="58">
        <f>H12/G12</f>
        <v/>
      </c>
      <c r="J12" s="292">
        <f>(D12-E12-F12)</f>
        <v/>
      </c>
      <c r="K12" s="295">
        <f>(D12-E12-F12)*$C$1</f>
        <v/>
      </c>
      <c r="L12" s="296">
        <f>E12*$C$1</f>
        <v/>
      </c>
      <c r="M12" s="37" t="n">
        <v>495</v>
      </c>
      <c r="N12" s="297">
        <f>+M12-(M12*$C$3)</f>
        <v/>
      </c>
      <c r="O12" s="37" t="n">
        <v>91</v>
      </c>
      <c r="P12" s="65">
        <f>+O12-(O12*$C$3)</f>
        <v/>
      </c>
      <c r="Q12" s="298">
        <f>(D12+N12+P12)</f>
        <v/>
      </c>
      <c r="R12" s="68" t="n"/>
      <c r="T12" s="299" t="n">
        <v>4637.6</v>
      </c>
      <c r="V12" s="299">
        <f>+Q12-T12</f>
        <v/>
      </c>
      <c r="X12" s="299" t="n">
        <v>5211</v>
      </c>
      <c r="Y12" s="102" t="n">
        <v>3</v>
      </c>
      <c r="AA12" t="inlineStr">
        <is>
          <t>04940-00164</t>
        </is>
      </c>
      <c r="AC12" s="83">
        <f>+X12*$C$3</f>
        <v/>
      </c>
      <c r="AD12" s="300">
        <f>X12+M12+O12</f>
        <v/>
      </c>
    </row>
    <row r="13">
      <c r="B13">
        <f>+B12+1</f>
        <v/>
      </c>
      <c r="C13" s="243" t="n">
        <v>1301</v>
      </c>
      <c r="D13" s="292">
        <f>X13-(X13*$C$3)</f>
        <v/>
      </c>
      <c r="E13" s="293">
        <f>(D13/1.18)*0.18</f>
        <v/>
      </c>
      <c r="F13" s="292">
        <f>E13/0.19</f>
        <v/>
      </c>
      <c r="G13" s="294">
        <f>(D13/(1+$C$2))*$C$1</f>
        <v/>
      </c>
      <c r="H13" s="295" t="n">
        <v>42776326</v>
      </c>
      <c r="I13" s="58">
        <f>H13/G13</f>
        <v/>
      </c>
      <c r="J13" s="292">
        <f>(D13-E13-F13)</f>
        <v/>
      </c>
      <c r="K13" s="295">
        <f>(D13-E13-F13)*$C$1</f>
        <v/>
      </c>
      <c r="L13" s="296">
        <f>E13*$C$1</f>
        <v/>
      </c>
      <c r="M13" s="37" t="n">
        <v>495</v>
      </c>
      <c r="N13" s="297">
        <f>+M13-(M13*$C$3)</f>
        <v/>
      </c>
      <c r="O13" s="37" t="n">
        <v>91</v>
      </c>
      <c r="P13" s="65">
        <f>+O13-(O13*$C$3)</f>
        <v/>
      </c>
      <c r="Q13" s="298">
        <f>(D13+N13+P13)</f>
        <v/>
      </c>
      <c r="R13" s="68" t="n"/>
      <c r="T13" s="299" t="n">
        <v>3912.8</v>
      </c>
      <c r="V13" s="299">
        <f>+Q13-T13</f>
        <v/>
      </c>
      <c r="X13" s="299" t="n">
        <v>4305</v>
      </c>
      <c r="Y13" s="102" t="n">
        <v>2</v>
      </c>
      <c r="AA13" t="inlineStr">
        <is>
          <t>04940-00159</t>
        </is>
      </c>
      <c r="AC13" s="83">
        <f>+X13*$C$3</f>
        <v/>
      </c>
      <c r="AD13" s="300">
        <f>X13+M13+O13</f>
        <v/>
      </c>
    </row>
    <row r="14">
      <c r="B14">
        <f>+B13+1</f>
        <v/>
      </c>
      <c r="C14" s="243" t="n">
        <v>1302</v>
      </c>
      <c r="D14" s="292">
        <f>X14-(X14*$C$3)</f>
        <v/>
      </c>
      <c r="E14" s="293">
        <f>(D14/1.18)*0.18</f>
        <v/>
      </c>
      <c r="F14" s="292">
        <f>E14/0.19</f>
        <v/>
      </c>
      <c r="G14" s="294">
        <f>(D14/(1+$C$2))*$C$1</f>
        <v/>
      </c>
      <c r="H14" s="295" t="n">
        <v>67066428</v>
      </c>
      <c r="I14" s="58">
        <f>H14/G14</f>
        <v/>
      </c>
      <c r="J14" s="292">
        <f>(D14-E14-F14)</f>
        <v/>
      </c>
      <c r="K14" s="295">
        <f>(D14-E14-F14)*$C$1</f>
        <v/>
      </c>
      <c r="L14" s="296">
        <f>E14*$C$1</f>
        <v/>
      </c>
      <c r="M14" s="37" t="n">
        <v>495</v>
      </c>
      <c r="N14" s="297">
        <f>+M14-(M14*$C$3)</f>
        <v/>
      </c>
      <c r="O14" s="37" t="n">
        <v>91</v>
      </c>
      <c r="P14" s="65">
        <f>+O14-(O14*$C$3)</f>
        <v/>
      </c>
      <c r="Q14" s="298">
        <f>(D14+N14+P14)</f>
        <v/>
      </c>
      <c r="R14" s="68" t="n"/>
      <c r="T14" s="299" t="n">
        <v>4694.400000000001</v>
      </c>
      <c r="V14" s="299">
        <f>+Q14-T14</f>
        <v/>
      </c>
      <c r="X14" s="299" t="n">
        <v>5282</v>
      </c>
      <c r="Y14" s="102" t="n">
        <v>3</v>
      </c>
      <c r="AA14" t="inlineStr">
        <is>
          <t>04940-00173</t>
        </is>
      </c>
      <c r="AC14" s="83">
        <f>+X14*$C$3</f>
        <v/>
      </c>
      <c r="AD14" s="300">
        <f>X14+M14+O14</f>
        <v/>
      </c>
    </row>
    <row r="15">
      <c r="B15">
        <f>+B14+1</f>
        <v/>
      </c>
      <c r="C15" s="243" t="n">
        <v>1303</v>
      </c>
      <c r="D15" s="292">
        <f>X15-(X15*$C$3)</f>
        <v/>
      </c>
      <c r="E15" s="293">
        <f>(D15/1.18)*0.18</f>
        <v/>
      </c>
      <c r="F15" s="292">
        <f>E15/0.19</f>
        <v/>
      </c>
      <c r="G15" s="294">
        <f>(D15/(1+$C$2))*$C$1</f>
        <v/>
      </c>
      <c r="H15" s="295" t="n">
        <v>66118964</v>
      </c>
      <c r="I15" s="58">
        <f>H15/G15</f>
        <v/>
      </c>
      <c r="J15" s="292">
        <f>(D15-E15-F15)</f>
        <v/>
      </c>
      <c r="K15" s="295">
        <f>(D15-E15-F15)*$C$1</f>
        <v/>
      </c>
      <c r="L15" s="296">
        <f>E15*$C$1</f>
        <v/>
      </c>
      <c r="M15" s="37" t="n">
        <v>495</v>
      </c>
      <c r="N15" s="297">
        <f>+M15-(M15*$C$3)</f>
        <v/>
      </c>
      <c r="O15" s="37" t="n">
        <v>91</v>
      </c>
      <c r="P15" s="65">
        <f>+O15-(O15*$C$3)</f>
        <v/>
      </c>
      <c r="Q15" s="298">
        <f>(D15+N15+P15)</f>
        <v/>
      </c>
      <c r="R15" s="68" t="n"/>
      <c r="T15" s="299" t="n">
        <v>4612</v>
      </c>
      <c r="V15" s="299">
        <f>+Q15-T15</f>
        <v/>
      </c>
      <c r="X15" s="299" t="n">
        <v>5179</v>
      </c>
      <c r="Y15" s="102" t="n">
        <v>3</v>
      </c>
      <c r="AA15" t="inlineStr">
        <is>
          <t>04940-00177</t>
        </is>
      </c>
      <c r="AC15" s="83">
        <f>+X15*$C$3</f>
        <v/>
      </c>
      <c r="AD15" s="300">
        <f>X15+M15+O15</f>
        <v/>
      </c>
    </row>
    <row r="16">
      <c r="B16">
        <f>+B15+1</f>
        <v/>
      </c>
      <c r="C16" s="243" t="n">
        <v>1304</v>
      </c>
      <c r="D16" s="292">
        <f>X16-(X16*$C$3)</f>
        <v/>
      </c>
      <c r="E16" s="293">
        <f>(D16/1.18)*0.18</f>
        <v/>
      </c>
      <c r="F16" s="292">
        <f>E16/0.19</f>
        <v/>
      </c>
      <c r="G16" s="294">
        <f>(D16/(1+$C$2))*$C$1</f>
        <v/>
      </c>
      <c r="H16" s="295" t="n">
        <v>49427883</v>
      </c>
      <c r="I16" s="58">
        <f>H16/G16</f>
        <v/>
      </c>
      <c r="J16" s="292">
        <f>(D16-E16-F16)</f>
        <v/>
      </c>
      <c r="K16" s="295">
        <f>(D16-E16-F16)*$C$1</f>
        <v/>
      </c>
      <c r="L16" s="296">
        <f>E16*$C$1</f>
        <v/>
      </c>
      <c r="M16" s="37" t="n">
        <v>495</v>
      </c>
      <c r="N16" s="297">
        <f>+M16-(M16*$C$3)</f>
        <v/>
      </c>
      <c r="O16" s="37" t="n">
        <v>91</v>
      </c>
      <c r="P16" s="65">
        <f>+O16-(O16*$C$3)</f>
        <v/>
      </c>
      <c r="Q16" s="298">
        <f>(D16+N16+P16)</f>
        <v/>
      </c>
      <c r="R16" s="68" t="n"/>
      <c r="T16" s="299" t="n">
        <v>3937.6</v>
      </c>
      <c r="V16" s="299">
        <f>+Q16-T16</f>
        <v/>
      </c>
      <c r="X16" s="299" t="n">
        <v>4336</v>
      </c>
      <c r="Y16" s="102" t="n">
        <v>2</v>
      </c>
      <c r="AA16" t="inlineStr">
        <is>
          <t>04940-00132</t>
        </is>
      </c>
      <c r="AC16" s="83">
        <f>+X16*$C$3</f>
        <v/>
      </c>
      <c r="AD16" s="300">
        <f>X16+M16+O16</f>
        <v/>
      </c>
    </row>
    <row r="17">
      <c r="B17">
        <f>+B16+1</f>
        <v/>
      </c>
      <c r="C17" s="255" t="n">
        <v>1309</v>
      </c>
      <c r="D17" s="292">
        <f>X17-(X17*$C$3)</f>
        <v/>
      </c>
      <c r="E17" s="293">
        <f>(D17/1.18)*0.18</f>
        <v/>
      </c>
      <c r="F17" s="292">
        <f>E17/0.19</f>
        <v/>
      </c>
      <c r="G17" s="294">
        <f>(D17/(1+$C$2))*$C$1</f>
        <v/>
      </c>
      <c r="H17" s="295" t="n">
        <v>45765170</v>
      </c>
      <c r="I17" s="58">
        <f>H17/G17</f>
        <v/>
      </c>
      <c r="J17" s="292">
        <f>(D17-E17-F17)</f>
        <v/>
      </c>
      <c r="K17" s="295">
        <f>(D17-E17-F17)*$C$1</f>
        <v/>
      </c>
      <c r="L17" s="296">
        <f>E17*$C$1</f>
        <v/>
      </c>
      <c r="M17" s="231" t="n">
        <v>495</v>
      </c>
      <c r="N17" s="297">
        <f>+M17-(M17*$C$3)</f>
        <v/>
      </c>
      <c r="O17" s="37" t="n">
        <v>91</v>
      </c>
      <c r="P17" s="65">
        <f>+O17-(O17*$C$3)</f>
        <v/>
      </c>
      <c r="Q17" s="298">
        <f>(D17+N17+P17)</f>
        <v/>
      </c>
      <c r="R17" s="232" t="n"/>
      <c r="T17" s="299" t="n">
        <v>3974.4</v>
      </c>
      <c r="V17" s="299">
        <f>+Q17-T17</f>
        <v/>
      </c>
      <c r="X17" s="301" t="n">
        <v>4382</v>
      </c>
      <c r="Y17" s="102" t="n">
        <v>2</v>
      </c>
      <c r="AC17" s="83">
        <f>+X17*$C$3</f>
        <v/>
      </c>
      <c r="AD17" s="300">
        <f>X17+M17+O17</f>
        <v/>
      </c>
    </row>
    <row r="18">
      <c r="B18">
        <f>+B17+1</f>
        <v/>
      </c>
      <c r="C18" s="255" t="n">
        <v>1007</v>
      </c>
      <c r="D18" s="292">
        <f>X18-(X18*$C$3)</f>
        <v/>
      </c>
      <c r="E18" s="293">
        <f>(D18/1.18)*0.18</f>
        <v/>
      </c>
      <c r="F18" s="292">
        <f>E18/0.19</f>
        <v/>
      </c>
      <c r="G18" s="294">
        <f>(D18/(1+$C$2))*$C$1</f>
        <v/>
      </c>
      <c r="H18" s="295" t="n">
        <v>67066428</v>
      </c>
      <c r="I18" s="58">
        <f>H18/G18</f>
        <v/>
      </c>
      <c r="J18" s="292">
        <f>(D18-E18-F18)</f>
        <v/>
      </c>
      <c r="K18" s="295">
        <f>(D18-E18-F18)*$C$1</f>
        <v/>
      </c>
      <c r="L18" s="296">
        <f>E18*$C$1</f>
        <v/>
      </c>
      <c r="M18" s="231" t="n">
        <v>495</v>
      </c>
      <c r="N18" s="297">
        <f>+M18-(M18*$C$3)</f>
        <v/>
      </c>
      <c r="O18" s="37" t="n">
        <v>91</v>
      </c>
      <c r="P18" s="65">
        <f>+O18-(O18*$C$3)</f>
        <v/>
      </c>
      <c r="Q18" s="298">
        <f>(D18+N18+P18)</f>
        <v/>
      </c>
      <c r="R18" s="232" t="n"/>
      <c r="T18" s="299" t="n">
        <v>4763.2</v>
      </c>
      <c r="V18" s="299">
        <f>+Q18-T18</f>
        <v/>
      </c>
      <c r="X18" s="301" t="n">
        <v>5368</v>
      </c>
      <c r="Y18" s="102" t="n">
        <v>3</v>
      </c>
      <c r="AC18" s="83">
        <f>+X18*$C$3</f>
        <v/>
      </c>
      <c r="AD18" s="300">
        <f>X18+M18+O18</f>
        <v/>
      </c>
    </row>
    <row r="19">
      <c r="B19">
        <f>+B18+1</f>
        <v/>
      </c>
      <c r="C19" s="255" t="n">
        <v>1104</v>
      </c>
      <c r="D19" s="292">
        <f>X19-(X19*$C$3)</f>
        <v/>
      </c>
      <c r="E19" s="293">
        <f>(D19/1.18)*0.18</f>
        <v/>
      </c>
      <c r="F19" s="292">
        <f>E19/0.19</f>
        <v/>
      </c>
      <c r="G19" s="294">
        <f>(D19/(1+$C$2))*$C$1</f>
        <v/>
      </c>
      <c r="H19" s="295" t="n">
        <v>49427883</v>
      </c>
      <c r="I19" s="58">
        <f>H19/G19</f>
        <v/>
      </c>
      <c r="J19" s="292">
        <f>(D19-E19-F19)</f>
        <v/>
      </c>
      <c r="K19" s="295">
        <f>(D19-E19-F19)*$C$1</f>
        <v/>
      </c>
      <c r="L19" s="296">
        <f>E19*$C$1</f>
        <v/>
      </c>
      <c r="M19" s="231" t="n">
        <v>495</v>
      </c>
      <c r="N19" s="297">
        <f>+M19-(M19*$C$3)</f>
        <v/>
      </c>
      <c r="O19" s="37" t="n">
        <v>91</v>
      </c>
      <c r="P19" s="65">
        <f>+O19-(O19*$C$3)</f>
        <v/>
      </c>
      <c r="Q19" s="298">
        <f>(D19+N19+P19)</f>
        <v/>
      </c>
      <c r="R19" s="232" t="n"/>
      <c r="T19" s="299" t="n">
        <v>3999.2</v>
      </c>
      <c r="V19" s="299">
        <f>+Q19-T19</f>
        <v/>
      </c>
      <c r="X19" s="301" t="n">
        <v>4413</v>
      </c>
      <c r="Y19" s="102" t="n">
        <v>2</v>
      </c>
      <c r="AC19" s="83">
        <f>+X19*$C$3</f>
        <v/>
      </c>
      <c r="AD19" s="300">
        <f>X19+M19+O19</f>
        <v/>
      </c>
    </row>
    <row r="20">
      <c r="B20">
        <f>+B19+1</f>
        <v/>
      </c>
      <c r="C20" s="255" t="n">
        <v>1107</v>
      </c>
      <c r="D20" s="292">
        <f>X20-(X20*$C$3)</f>
        <v/>
      </c>
      <c r="E20" s="293">
        <f>(D20/1.18)*0.18</f>
        <v/>
      </c>
      <c r="F20" s="292">
        <f>E20/0.19</f>
        <v/>
      </c>
      <c r="G20" s="294">
        <f>(D20/(1+$C$2))*$C$1</f>
        <v/>
      </c>
      <c r="H20" s="295" t="n">
        <v>67066428</v>
      </c>
      <c r="I20" s="58">
        <f>H20/G20</f>
        <v/>
      </c>
      <c r="J20" s="292">
        <f>(D20-E20-F20)</f>
        <v/>
      </c>
      <c r="K20" s="295">
        <f>(D20-E20-F20)*$C$1</f>
        <v/>
      </c>
      <c r="L20" s="296">
        <f>E20*$C$1</f>
        <v/>
      </c>
      <c r="M20" s="231" t="n">
        <v>495</v>
      </c>
      <c r="N20" s="297">
        <f>+M20-(M20*$C$3)</f>
        <v/>
      </c>
      <c r="O20" s="37" t="n">
        <v>91</v>
      </c>
      <c r="P20" s="65">
        <f>+O20-(O20*$C$3)</f>
        <v/>
      </c>
      <c r="Q20" s="298">
        <f>(D20+N20+P20)</f>
        <v/>
      </c>
      <c r="R20" s="232" t="n"/>
      <c r="T20" s="299" t="n">
        <v>4671.2</v>
      </c>
      <c r="V20" s="299">
        <f>+Q20-T20</f>
        <v/>
      </c>
      <c r="X20" s="301" t="n">
        <v>5253</v>
      </c>
      <c r="Y20" s="102" t="n">
        <v>3</v>
      </c>
      <c r="AC20" s="83">
        <f>+X20*$C$3</f>
        <v/>
      </c>
      <c r="AD20" s="300">
        <f>X20+M20+O20</f>
        <v/>
      </c>
    </row>
    <row r="21">
      <c r="B21">
        <f>+B20+1</f>
        <v/>
      </c>
      <c r="C21" s="255" t="n">
        <v>1204</v>
      </c>
      <c r="D21" s="292">
        <f>X21-(X21*$C$3)</f>
        <v/>
      </c>
      <c r="E21" s="293">
        <f>(D21/1.18)*0.18</f>
        <v/>
      </c>
      <c r="F21" s="292">
        <f>E21/0.19</f>
        <v/>
      </c>
      <c r="G21" s="294">
        <f>(D21/(1+$C$2))*$C$1</f>
        <v/>
      </c>
      <c r="H21" s="295" t="n">
        <v>49427883</v>
      </c>
      <c r="I21" s="58">
        <f>H21/G21</f>
        <v/>
      </c>
      <c r="J21" s="292">
        <f>(D21-E21-F21)</f>
        <v/>
      </c>
      <c r="K21" s="295">
        <f>(D21-E21-F21)*$C$1</f>
        <v/>
      </c>
      <c r="L21" s="296">
        <f>E21*$C$1</f>
        <v/>
      </c>
      <c r="M21" s="231" t="n">
        <v>495</v>
      </c>
      <c r="N21" s="297">
        <f>+M21-(M21*$C$3)</f>
        <v/>
      </c>
      <c r="O21" s="37" t="n">
        <v>91</v>
      </c>
      <c r="P21" s="65">
        <f>+O21-(O21*$C$3)</f>
        <v/>
      </c>
      <c r="Q21" s="298">
        <f>(D21+N21+P21)</f>
        <v/>
      </c>
      <c r="R21" s="232" t="n"/>
      <c r="T21" s="299" t="n">
        <v>4078.4</v>
      </c>
      <c r="V21" s="299">
        <f>+Q21-T21</f>
        <v/>
      </c>
      <c r="X21" s="301" t="n">
        <v>4512</v>
      </c>
      <c r="Y21" s="102" t="n">
        <v>2</v>
      </c>
      <c r="AC21" s="83">
        <f>+X21*$C$3</f>
        <v/>
      </c>
      <c r="AD21" s="300">
        <f>X21+M21+O21</f>
        <v/>
      </c>
    </row>
    <row r="22">
      <c r="B22">
        <f>+B21+1</f>
        <v/>
      </c>
      <c r="C22" s="246" t="n">
        <v>1207</v>
      </c>
      <c r="D22" s="302">
        <f>X22-(X22*$C$3)</f>
        <v/>
      </c>
      <c r="E22" s="302">
        <f>(D22/1.18)*0.18</f>
        <v/>
      </c>
      <c r="F22" s="302">
        <f>E22/0.19</f>
        <v/>
      </c>
      <c r="G22" s="303">
        <f>(D22/(1+$C$2))*$C$1</f>
        <v/>
      </c>
      <c r="H22" s="304" t="n">
        <v>67066428</v>
      </c>
      <c r="I22" s="62">
        <f>H22/G22</f>
        <v/>
      </c>
      <c r="J22" s="302">
        <f>(D22-E22-F22)</f>
        <v/>
      </c>
      <c r="K22" s="304">
        <f>(D22-E22-F22)*$C$1</f>
        <v/>
      </c>
      <c r="L22" s="305">
        <f>E22*$C$1</f>
        <v/>
      </c>
      <c r="M22" s="64" t="n">
        <v>495</v>
      </c>
      <c r="N22" s="297">
        <f>+M22-(M22*$C$3)</f>
        <v/>
      </c>
      <c r="O22" s="64" t="n">
        <v>91</v>
      </c>
      <c r="P22" s="66">
        <f>+O22-(O22*$C$3)</f>
        <v/>
      </c>
      <c r="Q22" s="306">
        <f>(D22+N22+P22)</f>
        <v/>
      </c>
      <c r="R22" s="34" t="n"/>
      <c r="T22" s="307" t="n">
        <v>4675.2</v>
      </c>
      <c r="V22" s="307">
        <f>+Q22-T22</f>
        <v/>
      </c>
      <c r="X22" s="308" t="n">
        <v>5258</v>
      </c>
      <c r="Y22" s="102" t="n">
        <v>3</v>
      </c>
      <c r="AA22" t="inlineStr">
        <is>
          <t>04940-00168</t>
        </is>
      </c>
      <c r="AC22" s="138">
        <f>+X22*$C$3</f>
        <v/>
      </c>
      <c r="AD22" s="309">
        <f>X22+M22+O22</f>
        <v/>
      </c>
    </row>
    <row r="23">
      <c r="D23" s="310">
        <f>SUM(D8:D22)</f>
        <v/>
      </c>
      <c r="E23" s="310">
        <f>(D23/1.18)*0.18</f>
        <v/>
      </c>
      <c r="F23" s="310">
        <f>SUM(F8:F22)</f>
        <v/>
      </c>
      <c r="G23" s="310">
        <f>SUM(G8:G22)</f>
        <v/>
      </c>
      <c r="H23" s="310">
        <f>SUM(H8:H22)</f>
        <v/>
      </c>
      <c r="J23" s="311" t="n"/>
      <c r="L23" s="310">
        <f>SUM(L8:L22)</f>
        <v/>
      </c>
      <c r="M23" s="310">
        <f>SUM(M8:M22)</f>
        <v/>
      </c>
      <c r="N23" s="310">
        <f>SUM(N8:N22)</f>
        <v/>
      </c>
      <c r="O23" s="310">
        <f>SUM(O8:O22)</f>
        <v/>
      </c>
      <c r="P23" s="310">
        <f>SUM(P8:P22)</f>
        <v/>
      </c>
      <c r="Q23" s="310">
        <f>SUM(Q8:Q22)</f>
        <v/>
      </c>
      <c r="T23" s="310">
        <f>SUM(T8:T22)</f>
        <v/>
      </c>
      <c r="V23" s="310">
        <f>+Q23-T23</f>
        <v/>
      </c>
      <c r="X23" s="310">
        <f>SUM(X8:X22)</f>
        <v/>
      </c>
      <c r="AC23" s="310">
        <f>SUM(AC8:AC22)</f>
        <v/>
      </c>
      <c r="AD23" s="310">
        <f>SUM(AD8:AD22)</f>
        <v/>
      </c>
    </row>
    <row r="24">
      <c r="D24" s="312" t="n"/>
      <c r="E24" s="312" t="n"/>
      <c r="F24" s="312" t="n"/>
      <c r="H24" s="313" t="n"/>
      <c r="L24" s="284">
        <f>L23/C1</f>
        <v/>
      </c>
      <c r="N24" s="312">
        <f>+M23-N23</f>
        <v/>
      </c>
      <c r="P24" s="312">
        <f>+O23-P23</f>
        <v/>
      </c>
      <c r="Q24" s="312" t="n"/>
    </row>
    <row r="25">
      <c r="E25" s="290" t="n"/>
      <c r="N25" s="314" t="n"/>
      <c r="P25" s="312" t="n"/>
      <c r="Q25" s="312" t="n"/>
      <c r="AD25" s="312" t="n"/>
      <c r="AE25" s="312" t="n"/>
    </row>
    <row r="26">
      <c r="E26" s="290" t="n"/>
      <c r="F26" s="290" t="n"/>
      <c r="G26" s="313" t="n"/>
      <c r="AD26" s="312" t="n"/>
    </row>
    <row r="27">
      <c r="F27" s="290" t="n"/>
      <c r="G27" s="313" t="n"/>
      <c r="Q27" s="312" t="n"/>
      <c r="T27" s="312" t="n"/>
      <c r="V27" s="312" t="n"/>
      <c r="X27" s="312" t="n"/>
    </row>
    <row r="28">
      <c r="T28" s="312" t="n"/>
    </row>
    <row r="29">
      <c r="F29" s="107" t="n"/>
      <c r="T29" s="312" t="n"/>
    </row>
    <row r="30">
      <c r="F30" s="107" t="n"/>
    </row>
    <row r="31" ht="38.4" customHeight="1">
      <c r="C31" s="53" t="inlineStr">
        <is>
          <t>N°</t>
        </is>
      </c>
      <c r="D31" s="105" t="inlineStr">
        <is>
          <t>Precio Lista Deptos</t>
        </is>
      </c>
      <c r="E31" s="53" t="inlineStr">
        <is>
          <t>Est. UF</t>
        </is>
      </c>
      <c r="F31" s="161" t="inlineStr">
        <is>
          <t>Bod UF</t>
        </is>
      </c>
      <c r="H31" s="105" t="inlineStr">
        <is>
          <t>Precio 28% dcto</t>
        </is>
      </c>
      <c r="I31" s="53" t="inlineStr">
        <is>
          <t>28% Desc</t>
        </is>
      </c>
      <c r="J31" s="161" t="inlineStr">
        <is>
          <t>28% Desc</t>
        </is>
      </c>
    </row>
    <row r="32">
      <c r="C32" s="45" t="n">
        <v>702</v>
      </c>
      <c r="D32" s="299" t="n">
        <v>5097</v>
      </c>
      <c r="E32" s="37" t="n">
        <v>495</v>
      </c>
      <c r="F32" s="162" t="n">
        <v>91</v>
      </c>
      <c r="G32" s="101" t="n"/>
      <c r="H32" s="299" t="n">
        <v>3669.84</v>
      </c>
      <c r="I32" s="315" t="n">
        <v>356.4</v>
      </c>
      <c r="J32" s="316" t="n">
        <v>65.52</v>
      </c>
      <c r="T32" s="312" t="n"/>
    </row>
    <row r="33">
      <c r="C33" s="45" t="n">
        <v>803</v>
      </c>
      <c r="D33" s="299" t="n">
        <v>5130</v>
      </c>
      <c r="E33" s="37" t="n">
        <v>495</v>
      </c>
      <c r="F33" s="162" t="n">
        <v>91</v>
      </c>
      <c r="G33" s="101" t="n"/>
      <c r="H33" s="299" t="n">
        <v>3693.6</v>
      </c>
      <c r="I33" s="315" t="n">
        <v>356.4</v>
      </c>
      <c r="J33" s="316" t="n">
        <v>65.52</v>
      </c>
      <c r="T33" s="312" t="n"/>
    </row>
    <row r="34">
      <c r="C34" s="45" t="n">
        <v>903</v>
      </c>
      <c r="D34" s="299" t="n">
        <v>5331</v>
      </c>
      <c r="E34" s="37" t="n">
        <v>495</v>
      </c>
      <c r="F34" s="162" t="n">
        <v>91</v>
      </c>
      <c r="G34" s="101" t="n"/>
      <c r="H34" s="299" t="n">
        <v>3838.32</v>
      </c>
      <c r="I34" s="315" t="n">
        <v>356.4</v>
      </c>
      <c r="J34" s="316" t="n">
        <v>65.52</v>
      </c>
    </row>
    <row r="35">
      <c r="C35" s="45" t="n">
        <v>1002</v>
      </c>
      <c r="D35" s="299" t="n">
        <v>5216</v>
      </c>
      <c r="E35" s="37" t="n">
        <v>495</v>
      </c>
      <c r="F35" s="162" t="n">
        <v>91</v>
      </c>
      <c r="G35" s="108" t="n"/>
      <c r="H35" s="299" t="n">
        <v>3755.52</v>
      </c>
      <c r="I35" s="315" t="n">
        <v>356.4</v>
      </c>
      <c r="J35" s="316" t="n">
        <v>65.52</v>
      </c>
    </row>
    <row r="36">
      <c r="C36" s="45" t="n">
        <v>1003</v>
      </c>
      <c r="D36" s="299" t="n">
        <v>5211</v>
      </c>
      <c r="E36" s="37" t="n">
        <v>495</v>
      </c>
      <c r="F36" s="162" t="n">
        <v>91</v>
      </c>
      <c r="G36" s="108" t="n"/>
      <c r="H36" s="299" t="n">
        <v>3751.92</v>
      </c>
      <c r="I36" s="315" t="n">
        <v>356.4</v>
      </c>
      <c r="J36" s="316" t="n">
        <v>65.52</v>
      </c>
    </row>
    <row r="37">
      <c r="C37" s="45" t="n">
        <v>1301</v>
      </c>
      <c r="D37" s="299" t="n">
        <v>4305</v>
      </c>
      <c r="E37" s="37" t="n">
        <v>495</v>
      </c>
      <c r="F37" s="162" t="n">
        <v>91</v>
      </c>
      <c r="G37" s="101" t="n"/>
      <c r="H37" s="299" t="n">
        <v>3099.6</v>
      </c>
      <c r="I37" s="315" t="n">
        <v>356.4</v>
      </c>
      <c r="J37" s="316" t="n">
        <v>65.52</v>
      </c>
    </row>
    <row r="38">
      <c r="C38" s="45" t="n">
        <v>1302</v>
      </c>
      <c r="D38" s="299" t="n">
        <v>5282</v>
      </c>
      <c r="E38" s="37" t="n">
        <v>495</v>
      </c>
      <c r="F38" s="162" t="n">
        <v>91</v>
      </c>
      <c r="G38" s="101" t="n"/>
      <c r="H38" s="299" t="n">
        <v>3803.04</v>
      </c>
      <c r="I38" s="315" t="n">
        <v>356.4</v>
      </c>
      <c r="J38" s="316" t="n">
        <v>65.52</v>
      </c>
    </row>
    <row r="39">
      <c r="C39" s="45" t="n">
        <v>1303</v>
      </c>
      <c r="D39" s="299" t="n">
        <v>5179</v>
      </c>
      <c r="E39" s="37" t="n">
        <v>495</v>
      </c>
      <c r="F39" s="162" t="n">
        <v>91</v>
      </c>
      <c r="G39" s="108" t="n"/>
      <c r="H39" s="299" t="n">
        <v>3728.88</v>
      </c>
      <c r="I39" s="315" t="n">
        <v>356.4</v>
      </c>
      <c r="J39" s="316" t="n">
        <v>65.52</v>
      </c>
    </row>
    <row r="40">
      <c r="C40" s="45" t="n">
        <v>1304</v>
      </c>
      <c r="D40" s="299" t="n">
        <v>4336</v>
      </c>
      <c r="E40" s="37" t="n">
        <v>495</v>
      </c>
      <c r="F40" s="162" t="n">
        <v>91</v>
      </c>
      <c r="H40" s="299" t="n">
        <v>3121.92</v>
      </c>
      <c r="I40" s="315" t="n">
        <v>356.4</v>
      </c>
      <c r="J40" s="316" t="n">
        <v>65.52</v>
      </c>
    </row>
    <row r="41">
      <c r="C41" s="45" t="n">
        <v>1309</v>
      </c>
      <c r="D41" s="299" t="n">
        <v>4382</v>
      </c>
      <c r="E41" s="37" t="n">
        <v>495</v>
      </c>
      <c r="F41" s="162" t="n">
        <v>91</v>
      </c>
      <c r="H41" s="299" t="n">
        <v>3155.04</v>
      </c>
      <c r="I41" s="315" t="n">
        <v>356.4</v>
      </c>
      <c r="J41" s="316" t="n">
        <v>65.52</v>
      </c>
    </row>
    <row r="42">
      <c r="C42" s="45" t="n">
        <v>1007</v>
      </c>
      <c r="D42" s="299" t="n">
        <v>5368</v>
      </c>
      <c r="E42" s="37" t="n">
        <v>495</v>
      </c>
      <c r="F42" s="162" t="n">
        <v>91</v>
      </c>
      <c r="H42" s="299" t="n">
        <v>3756.96</v>
      </c>
      <c r="I42" s="315" t="n">
        <v>356.4</v>
      </c>
      <c r="J42" s="316" t="n">
        <v>65.52</v>
      </c>
    </row>
    <row r="43">
      <c r="C43" s="45" t="n">
        <v>1104</v>
      </c>
      <c r="D43" s="299" t="n">
        <v>4413</v>
      </c>
      <c r="E43" s="37" t="n">
        <v>495</v>
      </c>
      <c r="F43" s="162" t="n">
        <v>91</v>
      </c>
      <c r="H43" s="299" t="n">
        <v>3177.36</v>
      </c>
      <c r="I43" s="315" t="n">
        <v>356.4</v>
      </c>
      <c r="J43" s="316" t="n">
        <v>65.52</v>
      </c>
    </row>
    <row r="44">
      <c r="C44" s="45" t="n">
        <v>1107</v>
      </c>
      <c r="D44" s="299" t="n">
        <v>5253</v>
      </c>
      <c r="E44" s="37" t="n">
        <v>495</v>
      </c>
      <c r="F44" s="162" t="n">
        <v>91</v>
      </c>
      <c r="G44" s="108" t="n"/>
      <c r="H44" s="299" t="n">
        <v>3782.16</v>
      </c>
      <c r="I44" s="315" t="n">
        <v>356.4</v>
      </c>
      <c r="J44" s="316" t="n">
        <v>65.52</v>
      </c>
    </row>
    <row r="45">
      <c r="C45" s="45" t="n">
        <v>1204</v>
      </c>
      <c r="D45" s="299" t="n">
        <v>4512</v>
      </c>
      <c r="E45" s="37" t="n">
        <v>495</v>
      </c>
      <c r="F45" s="162" t="n">
        <v>91</v>
      </c>
      <c r="H45" s="299" t="n">
        <v>3248.64</v>
      </c>
      <c r="I45" s="315" t="n">
        <v>356.4</v>
      </c>
      <c r="J45" s="316" t="n">
        <v>65.52</v>
      </c>
    </row>
    <row r="46">
      <c r="C46" s="46" t="n">
        <v>1207</v>
      </c>
      <c r="D46" s="307" t="n">
        <v>5258</v>
      </c>
      <c r="E46" s="64" t="n">
        <v>495</v>
      </c>
      <c r="F46" s="163" t="n">
        <v>91</v>
      </c>
      <c r="G46" s="101" t="n"/>
      <c r="H46" s="308" t="n">
        <v>3785.76</v>
      </c>
      <c r="I46" s="317" t="n">
        <v>356.4</v>
      </c>
      <c r="J46" s="318" t="n">
        <v>65.52</v>
      </c>
    </row>
    <row r="47">
      <c r="D47" s="310">
        <f>SUM(D32:D46)</f>
        <v/>
      </c>
      <c r="E47" s="310">
        <f>SUM(E32:E46)</f>
        <v/>
      </c>
      <c r="F47" s="310">
        <f>SUM(F32:F46)</f>
        <v/>
      </c>
      <c r="G47" s="101" t="n"/>
      <c r="H47" s="310">
        <f>SUM(H32:H46)</f>
        <v/>
      </c>
      <c r="I47" s="310">
        <f>SUM(I32:I46)</f>
        <v/>
      </c>
      <c r="J47" s="310">
        <f>SUM(J32:J46)</f>
        <v/>
      </c>
      <c r="K47" s="312" t="n"/>
    </row>
    <row r="48" ht="18.6" customHeight="1" thickBot="1">
      <c r="F48" s="160">
        <f>SUM(D47:F47)</f>
        <v/>
      </c>
      <c r="G48" s="101" t="n"/>
      <c r="J48" s="160">
        <f>SUM(H47:J47)</f>
        <v/>
      </c>
      <c r="L48" s="242">
        <f>J48/F48</f>
        <v/>
      </c>
    </row>
    <row r="52">
      <c r="F52" s="284">
        <f>F48*0.08</f>
        <v/>
      </c>
    </row>
  </sheetData>
  <mergeCells count="2">
    <mergeCell ref="M6:N6"/>
    <mergeCell ref="O6:P6"/>
  </mergeCell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:P18"/>
  <sheetViews>
    <sheetView workbookViewId="0">
      <selection activeCell="A1" sqref="A1"/>
    </sheetView>
  </sheetViews>
  <sheetFormatPr baseColWidth="10" defaultRowHeight="14.4"/>
  <cols>
    <col width="7.6640625" bestFit="1" customWidth="1" min="2" max="2"/>
    <col width="7.6640625" customWidth="1" min="3" max="3"/>
    <col width="14.88671875" bestFit="1" customWidth="1" min="4" max="4"/>
    <col width="14.88671875" customWidth="1" min="5" max="7"/>
    <col width="13.88671875" bestFit="1" customWidth="1" min="8" max="8"/>
    <col width="7" bestFit="1" customWidth="1" min="9" max="9"/>
    <col width="15.44140625" bestFit="1" customWidth="1" min="14" max="14"/>
  </cols>
  <sheetData>
    <row r="1" ht="15" customHeight="1" thickBot="1"/>
    <row r="2" ht="34.8" customHeight="1" thickBot="1">
      <c r="B2" s="257" t="inlineStr">
        <is>
          <t>Unidad</t>
        </is>
      </c>
      <c r="C2" s="257" t="n"/>
      <c r="D2" s="258" t="inlineStr">
        <is>
          <t>Cuota Alzamiento DEPTO</t>
        </is>
      </c>
      <c r="E2" s="259" t="inlineStr">
        <is>
          <t>C.EST</t>
        </is>
      </c>
      <c r="F2" s="259" t="inlineStr">
        <is>
          <t>C.BOD</t>
        </is>
      </c>
      <c r="G2" s="259" t="inlineStr">
        <is>
          <t>DEPTO+E+B</t>
        </is>
      </c>
      <c r="H2" s="260">
        <f>'IVA Dptos'!Q7</f>
        <v/>
      </c>
      <c r="I2" s="3" t="inlineStr">
        <is>
          <t>dif</t>
        </is>
      </c>
      <c r="J2" s="259" t="inlineStr">
        <is>
          <t>C.A.DENNIS</t>
        </is>
      </c>
      <c r="K2" s="259" t="n"/>
      <c r="M2" t="inlineStr">
        <is>
          <t>Unidad</t>
        </is>
      </c>
      <c r="N2" t="inlineStr">
        <is>
          <t>Cuota Alzamiento</t>
        </is>
      </c>
    </row>
    <row r="3">
      <c r="A3" t="n">
        <v>702</v>
      </c>
      <c r="B3" s="319" t="inlineStr">
        <is>
          <t xml:space="preserve">702       </t>
        </is>
      </c>
      <c r="C3" s="319">
        <f>CONCATENATE(B3)</f>
        <v/>
      </c>
      <c r="D3" s="320" t="n">
        <v>4312</v>
      </c>
      <c r="E3" s="321">
        <f>'IVA Dptos'!M8*0.8</f>
        <v/>
      </c>
      <c r="F3" s="321">
        <f>'IVA Dptos'!O8*0.8</f>
        <v/>
      </c>
      <c r="G3" s="321">
        <f>D3+E3+F3</f>
        <v/>
      </c>
      <c r="H3" t="n">
        <v>4091.76</v>
      </c>
      <c r="I3" s="312">
        <f>H3-G3</f>
        <v/>
      </c>
      <c r="J3" t="n">
        <v>4546.400000000001</v>
      </c>
      <c r="K3" s="312">
        <f>J3-E3-F3</f>
        <v/>
      </c>
      <c r="M3" t="inlineStr">
        <is>
          <t xml:space="preserve">702       </t>
        </is>
      </c>
      <c r="N3" t="n">
        <v>3670</v>
      </c>
      <c r="O3">
        <f>VLOOKUP(M3,$B$3:$K$17,10,0)</f>
        <v/>
      </c>
      <c r="P3">
        <f>O3-N3</f>
        <v/>
      </c>
    </row>
    <row r="4">
      <c r="A4" t="n">
        <v>803</v>
      </c>
      <c r="B4" s="319" t="inlineStr">
        <is>
          <t xml:space="preserve">803       </t>
        </is>
      </c>
      <c r="C4" s="319">
        <f>CONCATENATE(B4)</f>
        <v/>
      </c>
      <c r="D4" s="320" t="n">
        <v>4349</v>
      </c>
      <c r="E4" s="321">
        <f>'IVA Dptos'!M9*0.8</f>
        <v/>
      </c>
      <c r="F4" s="321">
        <f>'IVA Dptos'!O9*0.8</f>
        <v/>
      </c>
      <c r="G4" s="321">
        <f>D4+E4+F4</f>
        <v/>
      </c>
      <c r="H4" t="n">
        <v>4115.52</v>
      </c>
      <c r="I4" s="312">
        <f>H4-G4</f>
        <v/>
      </c>
      <c r="J4" t="n">
        <v>4572.8</v>
      </c>
      <c r="K4" s="312">
        <f>J4-E4-F4</f>
        <v/>
      </c>
      <c r="M4" t="inlineStr">
        <is>
          <t xml:space="preserve">803       </t>
        </is>
      </c>
      <c r="N4" t="n">
        <v>3694</v>
      </c>
      <c r="O4">
        <f>VLOOKUP(M4,$B$3:$K$17,10,0)</f>
        <v/>
      </c>
      <c r="P4">
        <f>O4-N4</f>
        <v/>
      </c>
    </row>
    <row r="5">
      <c r="A5" t="n">
        <v>903</v>
      </c>
      <c r="B5" s="319" t="inlineStr">
        <is>
          <t xml:space="preserve">903       </t>
        </is>
      </c>
      <c r="C5" s="319">
        <f>CONCATENATE(B5)</f>
        <v/>
      </c>
      <c r="D5" s="320" t="n">
        <v>4531</v>
      </c>
      <c r="E5" s="321">
        <f>'IVA Dptos'!M10*0.8</f>
        <v/>
      </c>
      <c r="F5" s="321">
        <f>'IVA Dptos'!O10*0.8</f>
        <v/>
      </c>
      <c r="G5" s="321">
        <f>D5+E5+F5</f>
        <v/>
      </c>
      <c r="H5" t="n">
        <v>4260.24</v>
      </c>
      <c r="I5" s="312">
        <f>H5-G5</f>
        <v/>
      </c>
      <c r="J5" t="n">
        <v>4733.6</v>
      </c>
      <c r="K5" s="312">
        <f>J5-E5-F5</f>
        <v/>
      </c>
      <c r="M5" t="inlineStr">
        <is>
          <t xml:space="preserve">903       </t>
        </is>
      </c>
      <c r="N5" t="n">
        <v>3838</v>
      </c>
      <c r="O5">
        <f>VLOOKUP(M5,$B$3:$K$17,10,0)</f>
        <v/>
      </c>
      <c r="P5">
        <f>O5-N5</f>
        <v/>
      </c>
    </row>
    <row r="6">
      <c r="A6" t="n">
        <v>1002</v>
      </c>
      <c r="B6" s="319" t="inlineStr">
        <is>
          <t xml:space="preserve">1002      </t>
        </is>
      </c>
      <c r="C6" s="319">
        <f>CONCATENATE(B6)</f>
        <v/>
      </c>
      <c r="D6" s="320" t="n">
        <v>4561</v>
      </c>
      <c r="E6" s="321">
        <f>'IVA Dptos'!M11*0.8</f>
        <v/>
      </c>
      <c r="F6" s="321">
        <f>'IVA Dptos'!O11*0.8</f>
        <v/>
      </c>
      <c r="G6" s="321">
        <f>D6+E6+F6</f>
        <v/>
      </c>
      <c r="H6" t="n">
        <v>4177.44</v>
      </c>
      <c r="I6" s="312">
        <f>H6-G6</f>
        <v/>
      </c>
      <c r="J6" t="n">
        <v>4641.6</v>
      </c>
      <c r="K6" s="312">
        <f>J6-E6-F6</f>
        <v/>
      </c>
      <c r="M6" t="inlineStr">
        <is>
          <t xml:space="preserve">1002      </t>
        </is>
      </c>
      <c r="N6" t="n">
        <v>3756</v>
      </c>
      <c r="O6">
        <f>VLOOKUP(M6,$B$3:$K$17,10,0)</f>
        <v/>
      </c>
      <c r="P6">
        <f>O6-N6</f>
        <v/>
      </c>
    </row>
    <row r="7">
      <c r="A7" t="n">
        <v>1003</v>
      </c>
      <c r="B7" s="319" t="inlineStr">
        <is>
          <t xml:space="preserve">1003      </t>
        </is>
      </c>
      <c r="C7" s="319">
        <f>CONCATENATE(B7)</f>
        <v/>
      </c>
      <c r="D7" s="320" t="n">
        <v>4557</v>
      </c>
      <c r="E7" s="321">
        <f>'IVA Dptos'!M12*0.8</f>
        <v/>
      </c>
      <c r="F7" s="321">
        <f>'IVA Dptos'!O12*0.8</f>
        <v/>
      </c>
      <c r="G7" s="321">
        <f>D7+E7+F7</f>
        <v/>
      </c>
      <c r="H7" t="n">
        <v>4173.84</v>
      </c>
      <c r="I7" s="312">
        <f>H7-G7</f>
        <v/>
      </c>
      <c r="J7" t="n">
        <v>4637.6</v>
      </c>
      <c r="K7" s="312">
        <f>J7-E7-F7</f>
        <v/>
      </c>
      <c r="M7" t="inlineStr">
        <is>
          <t xml:space="preserve">1003      </t>
        </is>
      </c>
      <c r="N7" t="n">
        <v>3752</v>
      </c>
      <c r="O7">
        <f>VLOOKUP(M7,$B$3:$K$17,10,0)</f>
        <v/>
      </c>
      <c r="P7">
        <f>O7-N7</f>
        <v/>
      </c>
    </row>
    <row r="8">
      <c r="A8" t="n">
        <v>1007</v>
      </c>
      <c r="B8" s="319" t="inlineStr">
        <is>
          <t xml:space="preserve">1007      </t>
        </is>
      </c>
      <c r="C8" s="319">
        <f>CONCATENATE(B8)</f>
        <v/>
      </c>
      <c r="D8" s="320" t="n">
        <v>4563</v>
      </c>
      <c r="E8" s="321">
        <f>'IVA Dptos'!M13*0.8</f>
        <v/>
      </c>
      <c r="F8" s="321">
        <f>'IVA Dptos'!O13*0.8</f>
        <v/>
      </c>
      <c r="G8" s="321">
        <f>D8+E8+F8</f>
        <v/>
      </c>
      <c r="H8" t="n">
        <v>4286.88</v>
      </c>
      <c r="I8" s="312">
        <f>H8-G8</f>
        <v/>
      </c>
      <c r="J8" t="n">
        <v>3912.8</v>
      </c>
      <c r="K8" s="312">
        <f>J8-E8-F8</f>
        <v/>
      </c>
      <c r="M8" t="inlineStr">
        <is>
          <t xml:space="preserve">1007      </t>
        </is>
      </c>
      <c r="N8" t="n">
        <v>4831</v>
      </c>
      <c r="O8">
        <f>VLOOKUP(M8,$B$3:$K$17,10,0)</f>
        <v/>
      </c>
      <c r="P8">
        <f>O8-N8</f>
        <v/>
      </c>
    </row>
    <row r="9">
      <c r="A9" t="n">
        <v>1104</v>
      </c>
      <c r="B9" s="319" t="inlineStr">
        <is>
          <t xml:space="preserve">1104      </t>
        </is>
      </c>
      <c r="C9" s="319">
        <f>CONCATENATE(B9)</f>
        <v/>
      </c>
      <c r="D9" s="320" t="n">
        <v>2705</v>
      </c>
      <c r="E9" s="321">
        <f>'IVA Dptos'!M14*0.8</f>
        <v/>
      </c>
      <c r="F9" s="321">
        <f>'IVA Dptos'!O14*0.8</f>
        <v/>
      </c>
      <c r="G9" s="321">
        <f>D9+E9+F9</f>
        <v/>
      </c>
      <c r="H9" t="n">
        <v>3599.28</v>
      </c>
      <c r="I9" s="312">
        <f>H9-G9</f>
        <v/>
      </c>
      <c r="J9" t="n">
        <v>4694.400000000001</v>
      </c>
      <c r="K9" s="312">
        <f>J9-E9-F9</f>
        <v/>
      </c>
      <c r="M9" t="inlineStr">
        <is>
          <t xml:space="preserve">1104      </t>
        </is>
      </c>
      <c r="N9" t="n">
        <v>3177</v>
      </c>
      <c r="O9">
        <f>VLOOKUP(M9,$B$3:$K$17,10,0)</f>
        <v/>
      </c>
      <c r="P9">
        <f>O9-N9</f>
        <v/>
      </c>
    </row>
    <row r="10">
      <c r="A10" t="n">
        <v>1107</v>
      </c>
      <c r="B10" s="319" t="inlineStr">
        <is>
          <t xml:space="preserve">1107      </t>
        </is>
      </c>
      <c r="C10" s="319">
        <f>CONCATENATE(B10)</f>
        <v/>
      </c>
      <c r="D10" s="320" t="n">
        <v>4450</v>
      </c>
      <c r="E10" s="321">
        <f>'IVA Dptos'!M15*0.8</f>
        <v/>
      </c>
      <c r="F10" s="321">
        <f>'IVA Dptos'!O15*0.8</f>
        <v/>
      </c>
      <c r="G10" s="321">
        <f>D10+E10+F10</f>
        <v/>
      </c>
      <c r="H10" t="n">
        <v>4204.08</v>
      </c>
      <c r="I10" s="312">
        <f>H10-G10</f>
        <v/>
      </c>
      <c r="J10" t="n">
        <v>4612</v>
      </c>
      <c r="K10" s="312">
        <f>J10-E10-F10</f>
        <v/>
      </c>
      <c r="M10" t="inlineStr">
        <is>
          <t xml:space="preserve">1107      </t>
        </is>
      </c>
      <c r="N10" t="n">
        <v>3782</v>
      </c>
      <c r="O10">
        <f>VLOOKUP(M10,$B$3:$K$17,10,0)</f>
        <v/>
      </c>
      <c r="P10">
        <f>O10-N10</f>
        <v/>
      </c>
    </row>
    <row r="11">
      <c r="A11" t="n">
        <v>1204</v>
      </c>
      <c r="B11" s="319" t="inlineStr">
        <is>
          <t xml:space="preserve">1204      </t>
        </is>
      </c>
      <c r="C11" s="319">
        <f>CONCATENATE(B11)</f>
        <v/>
      </c>
      <c r="D11" s="320" t="n">
        <v>3708</v>
      </c>
      <c r="E11" s="321">
        <f>'IVA Dptos'!M16*0.8</f>
        <v/>
      </c>
      <c r="F11" s="321">
        <f>'IVA Dptos'!O16*0.8</f>
        <v/>
      </c>
      <c r="G11" s="321">
        <f>D11+E11+F11</f>
        <v/>
      </c>
      <c r="H11" t="n">
        <v>3670.56</v>
      </c>
      <c r="I11" s="312">
        <f>H11-G11</f>
        <v/>
      </c>
      <c r="J11" t="n">
        <v>3937.6</v>
      </c>
      <c r="K11" s="312">
        <f>J11-E11-F11</f>
        <v/>
      </c>
      <c r="M11" t="inlineStr">
        <is>
          <t xml:space="preserve">1204      </t>
        </is>
      </c>
      <c r="N11" t="n">
        <v>3249</v>
      </c>
      <c r="O11">
        <f>VLOOKUP(M11,$B$3:$K$17,10,0)</f>
        <v/>
      </c>
      <c r="P11">
        <f>O11-N11</f>
        <v/>
      </c>
    </row>
    <row r="12">
      <c r="A12" t="n">
        <v>1207</v>
      </c>
      <c r="B12" s="319" t="inlineStr">
        <is>
          <t xml:space="preserve">1207      </t>
        </is>
      </c>
      <c r="C12" s="319">
        <f>CONCATENATE(B12)</f>
        <v/>
      </c>
      <c r="D12" s="320" t="n">
        <v>4597</v>
      </c>
      <c r="E12" s="321">
        <f>'IVA Dptos'!M17*0.8</f>
        <v/>
      </c>
      <c r="F12" s="321">
        <f>'IVA Dptos'!O17*0.8</f>
        <v/>
      </c>
      <c r="G12" s="321">
        <f>D12+E12+F12</f>
        <v/>
      </c>
      <c r="H12" t="n">
        <v>4207.68</v>
      </c>
      <c r="I12" s="312">
        <f>H12-G12</f>
        <v/>
      </c>
      <c r="J12" t="n">
        <v>3974.4</v>
      </c>
      <c r="K12" s="312">
        <f>J12-E12-F12</f>
        <v/>
      </c>
      <c r="M12" t="inlineStr">
        <is>
          <t xml:space="preserve">1207      </t>
        </is>
      </c>
      <c r="N12" t="n">
        <v>3786</v>
      </c>
      <c r="O12">
        <f>VLOOKUP(M12,$B$3:$K$17,10,0)</f>
        <v/>
      </c>
      <c r="P12">
        <f>O12-N12</f>
        <v/>
      </c>
    </row>
    <row r="13">
      <c r="A13" t="n">
        <v>1301</v>
      </c>
      <c r="B13" s="319" t="inlineStr">
        <is>
          <t xml:space="preserve">1301      </t>
        </is>
      </c>
      <c r="C13" s="319">
        <f>CONCATENATE(B13)</f>
        <v/>
      </c>
      <c r="D13" s="320" t="n">
        <v>3506</v>
      </c>
      <c r="E13" s="321">
        <f>'IVA Dptos'!M18*0.8</f>
        <v/>
      </c>
      <c r="F13" s="321">
        <f>'IVA Dptos'!O18*0.8</f>
        <v/>
      </c>
      <c r="G13" s="321">
        <f>D13+E13+F13</f>
        <v/>
      </c>
      <c r="H13" t="n">
        <v>3521.52</v>
      </c>
      <c r="I13" s="312">
        <f>H13-G13</f>
        <v/>
      </c>
      <c r="J13" t="n">
        <v>4763.2</v>
      </c>
      <c r="K13" s="312">
        <f>J13-E13-F13</f>
        <v/>
      </c>
      <c r="M13" t="inlineStr">
        <is>
          <t xml:space="preserve">1301      </t>
        </is>
      </c>
      <c r="N13" t="n">
        <v>3100</v>
      </c>
      <c r="O13">
        <f>VLOOKUP(M13,$B$3:$K$17,10,0)</f>
        <v/>
      </c>
      <c r="P13">
        <f>O13-N13</f>
        <v/>
      </c>
    </row>
    <row r="14">
      <c r="A14" t="n">
        <v>1302</v>
      </c>
      <c r="B14" s="319" t="inlineStr">
        <is>
          <t xml:space="preserve">1302      </t>
        </is>
      </c>
      <c r="C14" s="319">
        <f>CONCATENATE(B14)</f>
        <v/>
      </c>
      <c r="D14" s="320" t="n">
        <v>4617</v>
      </c>
      <c r="E14" s="321">
        <f>'IVA Dptos'!M19*0.8</f>
        <v/>
      </c>
      <c r="F14" s="321">
        <f>'IVA Dptos'!O19*0.8</f>
        <v/>
      </c>
      <c r="G14" s="321">
        <f>D14+E14+F14</f>
        <v/>
      </c>
      <c r="H14" t="n">
        <v>4224.96</v>
      </c>
      <c r="I14" s="312">
        <f>H14-G14</f>
        <v/>
      </c>
      <c r="J14" t="n">
        <v>3999.2</v>
      </c>
      <c r="K14" s="312">
        <f>J14-E14-F14</f>
        <v/>
      </c>
      <c r="M14" t="inlineStr">
        <is>
          <t xml:space="preserve">1302      </t>
        </is>
      </c>
      <c r="N14" t="n">
        <v>3803</v>
      </c>
      <c r="O14">
        <f>VLOOKUP(M14,$B$3:$K$17,10,0)</f>
        <v/>
      </c>
      <c r="P14">
        <f>O14-N14</f>
        <v/>
      </c>
    </row>
    <row r="15">
      <c r="A15" t="n">
        <v>1303</v>
      </c>
      <c r="B15" s="319" t="inlineStr">
        <is>
          <t xml:space="preserve">1303      </t>
        </is>
      </c>
      <c r="C15" s="319">
        <f>CONCATENATE(B15)</f>
        <v/>
      </c>
      <c r="D15" s="320" t="n">
        <v>4530</v>
      </c>
      <c r="E15" s="321">
        <f>'IVA Dptos'!M20*0.8</f>
        <v/>
      </c>
      <c r="F15" s="321">
        <f>'IVA Dptos'!O20*0.8</f>
        <v/>
      </c>
      <c r="G15" s="321">
        <f>D15+E15+F15</f>
        <v/>
      </c>
      <c r="H15" t="n">
        <v>4150.8</v>
      </c>
      <c r="I15" s="312">
        <f>H15-G15</f>
        <v/>
      </c>
      <c r="J15" t="n">
        <v>4671.2</v>
      </c>
      <c r="K15" s="312">
        <f>J15-E15-F15</f>
        <v/>
      </c>
      <c r="M15" t="inlineStr">
        <is>
          <t xml:space="preserve">1303      </t>
        </is>
      </c>
      <c r="N15" t="n">
        <v>3729</v>
      </c>
      <c r="O15">
        <f>VLOOKUP(M15,$B$3:$K$17,10,0)</f>
        <v/>
      </c>
      <c r="P15">
        <f>O15-N15</f>
        <v/>
      </c>
    </row>
    <row r="16">
      <c r="A16" t="n">
        <v>1304</v>
      </c>
      <c r="B16" s="319" t="inlineStr">
        <is>
          <t xml:space="preserve">1304      </t>
        </is>
      </c>
      <c r="C16" s="319">
        <f>CONCATENATE(B16)</f>
        <v/>
      </c>
      <c r="D16" s="320" t="n">
        <v>3579</v>
      </c>
      <c r="E16" s="321">
        <f>'IVA Dptos'!M21*0.8</f>
        <v/>
      </c>
      <c r="F16" s="321">
        <f>'IVA Dptos'!O21*0.8</f>
        <v/>
      </c>
      <c r="G16" s="321">
        <f>D16+E16+F16</f>
        <v/>
      </c>
      <c r="H16" t="n">
        <v>3543.84</v>
      </c>
      <c r="I16" s="312">
        <f>H16-G16</f>
        <v/>
      </c>
      <c r="J16" t="n">
        <v>4078.4</v>
      </c>
      <c r="K16" s="312">
        <f>J16-E16-F16</f>
        <v/>
      </c>
      <c r="M16" t="inlineStr">
        <is>
          <t xml:space="preserve">1304      </t>
        </is>
      </c>
      <c r="N16" t="n">
        <v>3122</v>
      </c>
      <c r="O16">
        <f>VLOOKUP(M16,$B$3:$K$17,10,0)</f>
        <v/>
      </c>
      <c r="P16">
        <f>O16-N16</f>
        <v/>
      </c>
    </row>
    <row r="17">
      <c r="A17" t="n">
        <v>1309</v>
      </c>
      <c r="B17" s="319" t="inlineStr">
        <is>
          <t xml:space="preserve">1309      </t>
        </is>
      </c>
      <c r="C17" s="319">
        <f>CONCATENATE(B17)</f>
        <v/>
      </c>
      <c r="D17" s="320" t="n">
        <v>3690</v>
      </c>
      <c r="E17" s="321">
        <f>'IVA Dptos'!M22*0.8</f>
        <v/>
      </c>
      <c r="F17" s="321">
        <f>'IVA Dptos'!O22*0.8</f>
        <v/>
      </c>
      <c r="G17" s="321">
        <f>D17+E17+F17</f>
        <v/>
      </c>
      <c r="H17" t="n">
        <v>3576.96</v>
      </c>
      <c r="I17" s="312">
        <f>H17-G17</f>
        <v/>
      </c>
      <c r="J17" t="n">
        <v>4675.2</v>
      </c>
      <c r="K17" s="312">
        <f>J17-E17-F17</f>
        <v/>
      </c>
      <c r="M17" t="inlineStr">
        <is>
          <t xml:space="preserve">1309      </t>
        </is>
      </c>
      <c r="N17" t="n">
        <v>3155</v>
      </c>
      <c r="O17">
        <f>VLOOKUP(M17,$B$3:$K$17,10,0)</f>
        <v/>
      </c>
      <c r="P17">
        <f>O17-N17</f>
        <v/>
      </c>
    </row>
    <row r="18">
      <c r="D18" s="312">
        <f>SUM(D3:D17)</f>
        <v/>
      </c>
      <c r="E18" s="312">
        <f>SUM(E3:E17)</f>
        <v/>
      </c>
      <c r="F18" s="312">
        <f>SUM(F3:F17)</f>
        <v/>
      </c>
      <c r="G18" s="312">
        <f>SUM(G3:G17)</f>
        <v/>
      </c>
      <c r="I18" s="312">
        <f>SUM(I3:I17)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10" defaultRowHeight="14.4"/>
  <cols>
    <col width="8.88671875" bestFit="1" customWidth="1" min="1" max="1"/>
    <col width="6.109375" bestFit="1" customWidth="1" min="2" max="2"/>
    <col width="3" bestFit="1" customWidth="1" min="3" max="3"/>
    <col width="5.77734375" customWidth="1" min="4" max="4"/>
    <col width="16.33203125" bestFit="1" customWidth="1" min="5" max="5"/>
    <col width="14" bestFit="1" customWidth="1" min="6" max="6"/>
    <col width="12.88671875" bestFit="1" customWidth="1" min="7" max="7"/>
    <col width="17.33203125" bestFit="1" customWidth="1" min="8" max="8"/>
    <col width="13.21875" bestFit="1" customWidth="1" min="9" max="9"/>
    <col width="13" customWidth="1" min="10" max="10"/>
    <col width="16.5546875" bestFit="1" customWidth="1" min="12" max="12"/>
    <col width="2.77734375" customWidth="1" min="13" max="13"/>
    <col width="10.5546875" bestFit="1" customWidth="1" min="14" max="14"/>
    <col width="6.109375" bestFit="1" customWidth="1" min="15" max="15"/>
    <col width="2" customWidth="1" min="16" max="16"/>
    <col width="31.44140625" bestFit="1" customWidth="1" min="17" max="17"/>
    <col width="17.6640625" bestFit="1" customWidth="1" min="18" max="18"/>
    <col width="11.33203125" bestFit="1" customWidth="1" min="19" max="19"/>
    <col width="9.77734375" customWidth="1" min="20" max="20"/>
    <col width="12.44140625" bestFit="1" customWidth="1" min="22" max="22"/>
    <col width="14.33203125" bestFit="1" customWidth="1" min="24" max="24"/>
  </cols>
  <sheetData>
    <row r="1">
      <c r="A1" t="inlineStr">
        <is>
          <t>Valor UF</t>
        </is>
      </c>
      <c r="B1">
        <f>'IVA Dptos'!C1</f>
        <v/>
      </c>
      <c r="N1" t="inlineStr">
        <is>
          <t>Valor UF</t>
        </is>
      </c>
      <c r="O1">
        <f>'IVA Dptos'!C1</f>
        <v/>
      </c>
    </row>
    <row r="2">
      <c r="B2" s="13" t="n">
        <v>0.11</v>
      </c>
      <c r="C2" s="13" t="n"/>
    </row>
    <row r="3" ht="45" customHeight="1">
      <c r="D3" s="14" t="inlineStr">
        <is>
          <t>Depto</t>
        </is>
      </c>
      <c r="E3" s="14" t="inlineStr">
        <is>
          <t>Valor Arriendo</t>
        </is>
      </c>
      <c r="F3" s="14" t="inlineStr">
        <is>
          <t>Valor Arriendo</t>
        </is>
      </c>
      <c r="G3" s="14" t="inlineStr">
        <is>
          <t>Avalúo fiscal</t>
        </is>
      </c>
      <c r="H3" s="14" t="inlineStr">
        <is>
          <t>11% A.F (año)</t>
        </is>
      </c>
      <c r="I3" s="14" t="inlineStr">
        <is>
          <t>11% A.F (mes)</t>
        </is>
      </c>
      <c r="J3" s="14" t="inlineStr">
        <is>
          <t>Arriendo-(11% A.F (mes))</t>
        </is>
      </c>
      <c r="K3" s="14" t="inlineStr">
        <is>
          <t>IVA arriendo</t>
        </is>
      </c>
      <c r="L3" s="14" t="inlineStr">
        <is>
          <t>Ingresos arriendo (mes)</t>
        </is>
      </c>
      <c r="N3" s="14" t="inlineStr">
        <is>
          <t>TIPOLOGIA</t>
        </is>
      </c>
      <c r="O3" s="14" t="inlineStr">
        <is>
          <t>N°</t>
        </is>
      </c>
      <c r="Q3" s="10" t="inlineStr">
        <is>
          <t>Arriendo GGCC Incluido</t>
        </is>
      </c>
      <c r="R3" s="10" t="inlineStr">
        <is>
          <t>Arriendo U</t>
        </is>
      </c>
      <c r="S3" s="10" t="inlineStr">
        <is>
          <t>Total</t>
        </is>
      </c>
      <c r="T3" s="10" t="inlineStr">
        <is>
          <t>total uf</t>
        </is>
      </c>
    </row>
    <row r="4">
      <c r="C4">
        <f>1</f>
        <v/>
      </c>
      <c r="D4" s="243" t="n">
        <v>702</v>
      </c>
      <c r="E4" s="295" t="n">
        <v>715206.3554701195</v>
      </c>
      <c r="F4" s="322">
        <f>E4/$B$1</f>
        <v/>
      </c>
      <c r="G4" s="323">
        <f>'IVA Dptos'!H8/$B$1</f>
        <v/>
      </c>
      <c r="H4" s="324">
        <f>G4*$B$2</f>
        <v/>
      </c>
      <c r="I4" s="325">
        <f>H4/12</f>
        <v/>
      </c>
      <c r="J4" s="326">
        <f>F4-I4</f>
        <v/>
      </c>
      <c r="K4" s="326">
        <f>J4*19%</f>
        <v/>
      </c>
      <c r="L4" s="327">
        <f>F4-K4</f>
        <v/>
      </c>
      <c r="N4" s="5" t="n">
        <v>3</v>
      </c>
      <c r="O4" s="5" t="n">
        <v>15</v>
      </c>
      <c r="Q4" s="328">
        <f>E4</f>
        <v/>
      </c>
      <c r="R4" s="329">
        <f>Q4/$O$1</f>
        <v/>
      </c>
      <c r="S4" s="330">
        <f>Q4*$O$4</f>
        <v/>
      </c>
      <c r="T4" s="329">
        <f>S4/$O$1</f>
        <v/>
      </c>
    </row>
    <row r="5">
      <c r="C5">
        <f>+C4+1</f>
        <v/>
      </c>
      <c r="D5" s="243" t="n">
        <v>803</v>
      </c>
      <c r="E5" s="295" t="n">
        <v>712738.9044637496</v>
      </c>
      <c r="F5" s="322">
        <f>E5/$B$1</f>
        <v/>
      </c>
      <c r="G5" s="323">
        <f>'IVA Dptos'!H9/$B$1</f>
        <v/>
      </c>
      <c r="H5" s="324">
        <f>G5*$B$2</f>
        <v/>
      </c>
      <c r="I5" s="325">
        <f>H5/12</f>
        <v/>
      </c>
      <c r="J5" s="326">
        <f>F5-I5</f>
        <v/>
      </c>
      <c r="K5" s="326">
        <f>J5*19%</f>
        <v/>
      </c>
      <c r="L5" s="327">
        <f>F5-K5</f>
        <v/>
      </c>
      <c r="N5" t="n">
        <v>3</v>
      </c>
    </row>
    <row r="6">
      <c r="C6">
        <f>+C5+1</f>
        <v/>
      </c>
      <c r="D6" s="243" t="n">
        <v>903</v>
      </c>
      <c r="E6" s="295" t="n">
        <v>712245.4142624756</v>
      </c>
      <c r="F6" s="322">
        <f>E6/$B$1</f>
        <v/>
      </c>
      <c r="G6" s="323">
        <f>'IVA Dptos'!H10/$B$1</f>
        <v/>
      </c>
      <c r="H6" s="324">
        <f>G6*$B$2</f>
        <v/>
      </c>
      <c r="I6" s="325">
        <f>H6/12</f>
        <v/>
      </c>
      <c r="J6" s="326">
        <f>F6-I6</f>
        <v/>
      </c>
      <c r="K6" s="326">
        <f>J6*19%</f>
        <v/>
      </c>
      <c r="L6" s="327">
        <f>F6-K6</f>
        <v/>
      </c>
      <c r="N6" t="n">
        <v>3</v>
      </c>
      <c r="Q6" s="10" t="inlineStr">
        <is>
          <t>Amoblado</t>
        </is>
      </c>
      <c r="R6" s="10" t="inlineStr">
        <is>
          <t>Amoblado U</t>
        </is>
      </c>
      <c r="S6" s="10" t="inlineStr">
        <is>
          <t>Total</t>
        </is>
      </c>
      <c r="T6" s="10" t="inlineStr">
        <is>
          <t>total uf</t>
        </is>
      </c>
    </row>
    <row r="7">
      <c r="C7">
        <f>+C6+1</f>
        <v/>
      </c>
      <c r="D7" s="243" t="n">
        <v>1002</v>
      </c>
      <c r="E7" s="295" t="n">
        <v>715370.8522038775</v>
      </c>
      <c r="F7" s="322">
        <f>E7/$B$1</f>
        <v/>
      </c>
      <c r="G7" s="323">
        <f>'IVA Dptos'!H11/$B$1</f>
        <v/>
      </c>
      <c r="H7" s="324">
        <f>G7*$B$2</f>
        <v/>
      </c>
      <c r="I7" s="325">
        <f>H7/12</f>
        <v/>
      </c>
      <c r="J7" s="326">
        <f>F7-I7</f>
        <v/>
      </c>
      <c r="K7" s="326">
        <f>J7*19%</f>
        <v/>
      </c>
      <c r="L7" s="327">
        <f>F7-K7</f>
        <v/>
      </c>
      <c r="N7" t="n">
        <v>3</v>
      </c>
      <c r="Q7" s="328" t="n">
        <v>2500000</v>
      </c>
      <c r="R7" s="329">
        <f>Q7/$O$1</f>
        <v/>
      </c>
      <c r="S7" s="330">
        <f>Q7*$O$4</f>
        <v/>
      </c>
      <c r="T7" s="329">
        <f>S7/$O$1</f>
        <v/>
      </c>
    </row>
    <row r="8">
      <c r="C8">
        <f>+C7+1</f>
        <v/>
      </c>
      <c r="D8" s="243" t="n">
        <v>1003</v>
      </c>
      <c r="E8" s="295" t="n">
        <v>712245.4142624756</v>
      </c>
      <c r="F8" s="322">
        <f>E8/$B$1</f>
        <v/>
      </c>
      <c r="G8" s="323">
        <f>'IVA Dptos'!H12/$B$1</f>
        <v/>
      </c>
      <c r="H8" s="324">
        <f>G8*$B$2</f>
        <v/>
      </c>
      <c r="I8" s="325">
        <f>H8/12</f>
        <v/>
      </c>
      <c r="J8" s="326">
        <f>F8-I8</f>
        <v/>
      </c>
      <c r="K8" s="326">
        <f>J8*19%</f>
        <v/>
      </c>
      <c r="L8" s="327">
        <f>F8-K8</f>
        <v/>
      </c>
      <c r="N8" t="n">
        <v>3</v>
      </c>
    </row>
    <row r="9">
      <c r="C9">
        <f>+C8+1</f>
        <v/>
      </c>
      <c r="D9" s="243" t="n">
        <v>1301</v>
      </c>
      <c r="E9" s="295" t="n">
        <v>532954.5768790188</v>
      </c>
      <c r="F9" s="322">
        <f>E9/$B$1</f>
        <v/>
      </c>
      <c r="G9" s="323">
        <f>'IVA Dptos'!H13/$B$1</f>
        <v/>
      </c>
      <c r="H9" s="324">
        <f>G9*$B$2</f>
        <v/>
      </c>
      <c r="I9" s="325">
        <f>H9/12</f>
        <v/>
      </c>
      <c r="J9" s="326">
        <f>F9-I9</f>
        <v/>
      </c>
      <c r="K9" s="326">
        <f>J9*19%</f>
        <v/>
      </c>
      <c r="L9" s="327">
        <f>F9-K9</f>
        <v/>
      </c>
      <c r="N9" t="n">
        <v>2</v>
      </c>
      <c r="Q9" s="10" t="inlineStr">
        <is>
          <t>Contribuciones</t>
        </is>
      </c>
      <c r="R9" s="10" t="inlineStr">
        <is>
          <t>Contribuciones U</t>
        </is>
      </c>
      <c r="S9" s="10" t="inlineStr">
        <is>
          <t>Total</t>
        </is>
      </c>
      <c r="T9" s="10" t="inlineStr">
        <is>
          <t>total uf</t>
        </is>
      </c>
    </row>
    <row r="10">
      <c r="C10">
        <f>+C9+1</f>
        <v/>
      </c>
      <c r="D10" s="243" t="n">
        <v>1302</v>
      </c>
      <c r="E10" s="295" t="n">
        <v>715535.3489376355</v>
      </c>
      <c r="F10" s="322">
        <f>E10/$B$1</f>
        <v/>
      </c>
      <c r="G10" s="323">
        <f>'IVA Dptos'!H14/$B$1</f>
        <v/>
      </c>
      <c r="H10" s="324">
        <f>G10*$B$2</f>
        <v/>
      </c>
      <c r="I10" s="325">
        <f>H10/12</f>
        <v/>
      </c>
      <c r="J10" s="326">
        <f>F10-I10</f>
        <v/>
      </c>
      <c r="K10" s="326">
        <f>J10*19%</f>
        <v/>
      </c>
      <c r="L10" s="327">
        <f>F10-K10</f>
        <v/>
      </c>
      <c r="N10" t="n">
        <v>3</v>
      </c>
      <c r="Q10" s="328" t="n">
        <v>20000</v>
      </c>
      <c r="R10" s="329">
        <f>Q10/$O$1</f>
        <v/>
      </c>
      <c r="S10" s="330">
        <f>Q10*$O$4</f>
        <v/>
      </c>
      <c r="T10" s="329">
        <f>S10/$O$1</f>
        <v/>
      </c>
    </row>
    <row r="11">
      <c r="C11">
        <f>+C10+1</f>
        <v/>
      </c>
      <c r="D11" s="243" t="n">
        <v>1303</v>
      </c>
      <c r="E11" s="295" t="n">
        <v>712738.9044637496</v>
      </c>
      <c r="F11" s="322">
        <f>E11/$B$1</f>
        <v/>
      </c>
      <c r="G11" s="323">
        <f>'IVA Dptos'!H15/$B$1</f>
        <v/>
      </c>
      <c r="H11" s="324">
        <f>G11*$B$2</f>
        <v/>
      </c>
      <c r="I11" s="325">
        <f>H11/12</f>
        <v/>
      </c>
      <c r="J11" s="326">
        <f>F11-I11</f>
        <v/>
      </c>
      <c r="K11" s="326">
        <f>J11*19%</f>
        <v/>
      </c>
      <c r="L11" s="327">
        <f>F11-K11</f>
        <v/>
      </c>
      <c r="N11" t="n">
        <v>3</v>
      </c>
    </row>
    <row r="12">
      <c r="C12">
        <f>+C11+1</f>
        <v/>
      </c>
      <c r="D12" s="243" t="n">
        <v>1304</v>
      </c>
      <c r="E12" s="295" t="n">
        <v>618023.1783974947</v>
      </c>
      <c r="F12" s="322">
        <f>E12/$B$1</f>
        <v/>
      </c>
      <c r="G12" s="323">
        <f>'IVA Dptos'!H16/$B$1</f>
        <v/>
      </c>
      <c r="H12" s="324">
        <f>G12*$B$2</f>
        <v/>
      </c>
      <c r="I12" s="325">
        <f>H12/12</f>
        <v/>
      </c>
      <c r="J12" s="326">
        <f>F12-I12</f>
        <v/>
      </c>
      <c r="K12" s="326">
        <f>J12*19%</f>
        <v/>
      </c>
      <c r="L12" s="327">
        <f>F12-K12</f>
        <v/>
      </c>
      <c r="N12" t="n">
        <v>2</v>
      </c>
      <c r="Q12" s="10" t="inlineStr">
        <is>
          <t>Dividendo</t>
        </is>
      </c>
      <c r="R12" s="10" t="inlineStr">
        <is>
          <t>Dividendo total</t>
        </is>
      </c>
      <c r="S12" s="10" t="inlineStr">
        <is>
          <t>Total</t>
        </is>
      </c>
      <c r="T12" s="10" t="inlineStr">
        <is>
          <t>total uf</t>
        </is>
      </c>
    </row>
    <row r="13">
      <c r="C13">
        <f>+C12+1</f>
        <v/>
      </c>
      <c r="D13" s="243" t="n">
        <v>1309</v>
      </c>
      <c r="E13" s="295" t="n">
        <v>608050.563913416</v>
      </c>
      <c r="F13" s="322">
        <f>E13/$B$1</f>
        <v/>
      </c>
      <c r="G13" s="323">
        <f>'IVA Dptos'!H17/$B$1</f>
        <v/>
      </c>
      <c r="H13" s="324">
        <f>G13*$B$2</f>
        <v/>
      </c>
      <c r="I13" s="325">
        <f>H13/12</f>
        <v/>
      </c>
      <c r="J13" s="326">
        <f>F13-I13</f>
        <v/>
      </c>
      <c r="K13" s="326">
        <f>J13*19%</f>
        <v/>
      </c>
      <c r="L13" s="327">
        <f>F13-K13</f>
        <v/>
      </c>
      <c r="N13" t="n">
        <v>2</v>
      </c>
      <c r="Q13" s="328">
        <f>R13*O1</f>
        <v/>
      </c>
      <c r="R13" s="329">
        <f>-'Crédito Comercial 12A'!H8</f>
        <v/>
      </c>
      <c r="S13" s="330">
        <f>Q13</f>
        <v/>
      </c>
      <c r="T13" s="331">
        <f>S13/$O$1</f>
        <v/>
      </c>
    </row>
    <row r="14">
      <c r="C14">
        <f>+C13+1</f>
        <v/>
      </c>
      <c r="D14" s="243" t="n">
        <v>1007</v>
      </c>
      <c r="E14" s="295" t="n">
        <v>715535.6822268065</v>
      </c>
      <c r="F14" s="322">
        <f>E14/$B$1</f>
        <v/>
      </c>
      <c r="G14" s="323">
        <f>'IVA Dptos'!H18/$B$1</f>
        <v/>
      </c>
      <c r="H14" s="324">
        <f>G14*$B$2</f>
        <v/>
      </c>
      <c r="I14" s="325">
        <f>H14/12</f>
        <v/>
      </c>
      <c r="J14" s="326">
        <f>F14-I14</f>
        <v/>
      </c>
      <c r="K14" s="326">
        <f>J14*19%</f>
        <v/>
      </c>
      <c r="L14" s="327">
        <f>F14-K14</f>
        <v/>
      </c>
      <c r="N14" t="n">
        <v>3</v>
      </c>
    </row>
    <row r="15">
      <c r="C15">
        <f>+C14+1</f>
        <v/>
      </c>
      <c r="D15" s="243" t="n">
        <v>1104</v>
      </c>
      <c r="E15" s="295" t="n">
        <v>617694.1849299788</v>
      </c>
      <c r="F15" s="322">
        <f>E15/$B$1</f>
        <v/>
      </c>
      <c r="G15" s="323">
        <f>'IVA Dptos'!H19/$B$1</f>
        <v/>
      </c>
      <c r="H15" s="324">
        <f>G15*$B$2</f>
        <v/>
      </c>
      <c r="I15" s="325">
        <f>H15/12</f>
        <v/>
      </c>
      <c r="J15" s="326">
        <f>F15-I15</f>
        <v/>
      </c>
      <c r="K15" s="326">
        <f>J15*19%</f>
        <v/>
      </c>
      <c r="L15" s="327">
        <f>F15-K15</f>
        <v/>
      </c>
      <c r="N15" t="n">
        <v>2</v>
      </c>
      <c r="Q15" s="10" t="inlineStr">
        <is>
          <t>Gasto Operacional</t>
        </is>
      </c>
      <c r="R15" s="10" t="inlineStr">
        <is>
          <t>gasto operc UF</t>
        </is>
      </c>
      <c r="S15" s="10" t="inlineStr">
        <is>
          <t>Total</t>
        </is>
      </c>
      <c r="T15" s="10" t="inlineStr">
        <is>
          <t>total uf</t>
        </is>
      </c>
    </row>
    <row r="16">
      <c r="C16">
        <f>+C15+1</f>
        <v/>
      </c>
      <c r="D16" s="243" t="n">
        <v>1107</v>
      </c>
      <c r="E16" s="295" t="n">
        <v>717303.688825534</v>
      </c>
      <c r="F16" s="322">
        <f>E16/$B$1</f>
        <v/>
      </c>
      <c r="G16" s="323">
        <f>'IVA Dptos'!H20/$B$1</f>
        <v/>
      </c>
      <c r="H16" s="324">
        <f>G16*$B$2</f>
        <v/>
      </c>
      <c r="I16" s="325">
        <f>H16/12</f>
        <v/>
      </c>
      <c r="J16" s="326">
        <f>F16-I16</f>
        <v/>
      </c>
      <c r="K16" s="326">
        <f>J16*19%</f>
        <v/>
      </c>
      <c r="L16" s="327">
        <f>F16-K16</f>
        <v/>
      </c>
      <c r="N16" t="n">
        <v>3</v>
      </c>
      <c r="Q16" s="328">
        <f>500000</f>
        <v/>
      </c>
      <c r="R16" s="329">
        <f>Q16/$O$1</f>
        <v/>
      </c>
      <c r="S16" s="330">
        <f>Q16*$O$4</f>
        <v/>
      </c>
      <c r="T16" s="329">
        <f>S16/$O$1</f>
        <v/>
      </c>
    </row>
    <row r="17">
      <c r="C17">
        <f>+C16+1</f>
        <v/>
      </c>
      <c r="D17" s="243" t="n">
        <v>1204</v>
      </c>
      <c r="E17" s="295" t="n">
        <v>616871.7012611888</v>
      </c>
      <c r="F17" s="322">
        <f>E17/$B$1</f>
        <v/>
      </c>
      <c r="G17" s="323">
        <f>'IVA Dptos'!H21/$B$1</f>
        <v/>
      </c>
      <c r="H17" s="324">
        <f>G17*$B$2</f>
        <v/>
      </c>
      <c r="I17" s="325">
        <f>H17/12</f>
        <v/>
      </c>
      <c r="J17" s="326">
        <f>F17-I17</f>
        <v/>
      </c>
      <c r="K17" s="326">
        <f>J17*19%</f>
        <v/>
      </c>
      <c r="L17" s="327">
        <f>F17-K17</f>
        <v/>
      </c>
      <c r="N17" t="n">
        <v>2</v>
      </c>
    </row>
    <row r="18">
      <c r="C18">
        <f>+C17+1</f>
        <v/>
      </c>
      <c r="D18" s="246" t="n">
        <v>1207</v>
      </c>
      <c r="E18" s="304" t="n">
        <v>715042.1920255325</v>
      </c>
      <c r="F18" s="332">
        <f>E18/$B$1</f>
        <v/>
      </c>
      <c r="G18" s="333">
        <f>'IVA Dptos'!H22/$B$1</f>
        <v/>
      </c>
      <c r="H18" s="334">
        <f>G18*$B$2</f>
        <v/>
      </c>
      <c r="I18" s="335">
        <f>H18/12</f>
        <v/>
      </c>
      <c r="J18" s="336">
        <f>F18-I18</f>
        <v/>
      </c>
      <c r="K18" s="336">
        <f>J18*19%</f>
        <v/>
      </c>
      <c r="L18" s="337">
        <f>F18-K18</f>
        <v/>
      </c>
      <c r="N18" t="n">
        <v>3</v>
      </c>
      <c r="Q18" s="10" t="inlineStr">
        <is>
          <t>Comisión Corredor</t>
        </is>
      </c>
      <c r="R18" s="10" t="inlineStr">
        <is>
          <t>Comisión Corredor</t>
        </is>
      </c>
      <c r="S18" s="10" t="inlineStr">
        <is>
          <t>Total</t>
        </is>
      </c>
      <c r="T18" s="10" t="inlineStr">
        <is>
          <t>total uf</t>
        </is>
      </c>
    </row>
    <row r="19">
      <c r="E19" s="313">
        <f>AVERAGE(E4:E18)</f>
        <v/>
      </c>
      <c r="F19" s="338">
        <f>SUM(F4:F18)</f>
        <v/>
      </c>
      <c r="K19" s="339">
        <f>SUM(K4:K18)</f>
        <v/>
      </c>
      <c r="L19" s="339">
        <f>F19-K19</f>
        <v/>
      </c>
      <c r="O19" s="13">
        <f>50%</f>
        <v/>
      </c>
      <c r="Q19" s="330">
        <f>Q4*O19</f>
        <v/>
      </c>
      <c r="R19" s="329">
        <f>Q19/$O$1</f>
        <v/>
      </c>
      <c r="S19" s="330">
        <f>Q19*$O$4</f>
        <v/>
      </c>
      <c r="T19" s="329">
        <f>S19/$O$1</f>
        <v/>
      </c>
    </row>
    <row r="20">
      <c r="F20" s="340">
        <f>+F19*B1</f>
        <v/>
      </c>
    </row>
    <row r="21">
      <c r="E21" s="144" t="n"/>
      <c r="F21" s="147" t="n"/>
      <c r="G21" s="144" t="n"/>
      <c r="H21" s="144" t="n"/>
      <c r="Q21" s="10" t="inlineStr">
        <is>
          <t>Gasto común</t>
        </is>
      </c>
      <c r="R21" s="10" t="inlineStr">
        <is>
          <t>ggcc UF</t>
        </is>
      </c>
      <c r="S21" s="10" t="inlineStr">
        <is>
          <t>Total</t>
        </is>
      </c>
      <c r="T21" s="10" t="inlineStr">
        <is>
          <t>total uf</t>
        </is>
      </c>
    </row>
    <row r="22">
      <c r="E22" s="144" t="n"/>
      <c r="F22" s="341" t="n"/>
      <c r="G22" s="341" t="n"/>
      <c r="H22" s="341" t="n"/>
      <c r="O22" s="112" t="inlineStr">
        <is>
          <t>VER</t>
        </is>
      </c>
      <c r="Q22" s="342" t="n">
        <v>218000</v>
      </c>
      <c r="R22" s="343">
        <f>Q22/$O$1</f>
        <v/>
      </c>
      <c r="S22" s="344">
        <f>Q22*$O$4</f>
        <v/>
      </c>
      <c r="T22" s="343">
        <f>S22/$O$1</f>
        <v/>
      </c>
    </row>
    <row r="23">
      <c r="E23" s="144" t="n"/>
      <c r="F23" s="144" t="n"/>
      <c r="G23" s="341" t="n"/>
      <c r="H23" s="341" t="n"/>
    </row>
    <row r="24">
      <c r="E24" s="144" t="n"/>
      <c r="F24" s="144" t="n"/>
      <c r="G24" s="341" t="n"/>
      <c r="H24" s="341" t="n"/>
      <c r="Q24" s="10" t="inlineStr">
        <is>
          <t>Marketing (Agencia)</t>
        </is>
      </c>
      <c r="R24" s="10" t="inlineStr">
        <is>
          <t>Marketing</t>
        </is>
      </c>
      <c r="S24" s="10" t="inlineStr">
        <is>
          <t>Total</t>
        </is>
      </c>
      <c r="T24" s="10" t="inlineStr">
        <is>
          <t>total uf</t>
        </is>
      </c>
    </row>
    <row r="25">
      <c r="E25" s="144" t="n"/>
      <c r="F25" s="144" t="n"/>
      <c r="G25" s="341" t="n"/>
      <c r="H25" s="341" t="n"/>
      <c r="Q25" s="328" t="n">
        <v>0</v>
      </c>
      <c r="R25" s="329">
        <f>Q25/$O$1</f>
        <v/>
      </c>
      <c r="S25" s="330">
        <f>Q25*$O$4</f>
        <v/>
      </c>
      <c r="T25" s="329">
        <f>S25/$O$1</f>
        <v/>
      </c>
    </row>
    <row r="26">
      <c r="E26" s="144" t="n"/>
      <c r="F26" s="144" t="n"/>
      <c r="G26" s="345" t="n"/>
      <c r="H26" s="345" t="n"/>
    </row>
    <row r="27">
      <c r="E27" s="144" t="n"/>
      <c r="F27" s="346" t="n"/>
      <c r="G27" s="144" t="n"/>
      <c r="H27" s="144" t="n"/>
      <c r="Q27" s="10" t="inlineStr">
        <is>
          <t>Imprevistos</t>
        </is>
      </c>
      <c r="R27" s="10" t="inlineStr">
        <is>
          <t>Imprevistos U</t>
        </is>
      </c>
      <c r="S27" s="10" t="inlineStr">
        <is>
          <t>Total</t>
        </is>
      </c>
      <c r="T27" s="10" t="inlineStr">
        <is>
          <t>total uf</t>
        </is>
      </c>
    </row>
    <row r="28">
      <c r="E28" s="144" t="n"/>
      <c r="F28" s="144" t="n"/>
      <c r="G28" s="144" t="n"/>
      <c r="H28" s="144" t="n"/>
      <c r="Q28" s="328" t="n">
        <v>20000</v>
      </c>
      <c r="R28" s="329">
        <f>Q28/$O$1</f>
        <v/>
      </c>
      <c r="S28" s="330">
        <f>Q28*$O$4</f>
        <v/>
      </c>
      <c r="T28" s="329">
        <f>S28/$O$1</f>
        <v/>
      </c>
    </row>
    <row r="30">
      <c r="Q30" s="10" t="inlineStr">
        <is>
          <t>Administración</t>
        </is>
      </c>
      <c r="R30" s="10" t="inlineStr">
        <is>
          <t>Admin</t>
        </is>
      </c>
      <c r="S30" s="10" t="inlineStr">
        <is>
          <t>Total</t>
        </is>
      </c>
      <c r="T30" s="10" t="inlineStr">
        <is>
          <t>total uf</t>
        </is>
      </c>
    </row>
    <row r="31">
      <c r="O31" s="13" t="n">
        <v>0.07000000000000001</v>
      </c>
      <c r="Q31" s="328">
        <f>Q4*O31</f>
        <v/>
      </c>
      <c r="R31" s="329">
        <f>Q31/$O$1</f>
        <v/>
      </c>
      <c r="S31" s="330">
        <f>Q31*$O$4</f>
        <v/>
      </c>
      <c r="T31" s="329">
        <f>S31/$O$1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2:S37"/>
  <sheetViews>
    <sheetView workbookViewId="0">
      <selection activeCell="A1" sqref="A1"/>
    </sheetView>
  </sheetViews>
  <sheetFormatPr baseColWidth="10" defaultRowHeight="14.4"/>
  <cols>
    <col width="17.44140625" bestFit="1" customWidth="1" min="2" max="2"/>
    <col width="9.88671875" bestFit="1" customWidth="1" min="3" max="3"/>
    <col width="12.6640625" bestFit="1" customWidth="1" min="5" max="5"/>
    <col width="11.88671875" bestFit="1" customWidth="1" min="7" max="7"/>
    <col width="12.44140625" bestFit="1" customWidth="1" min="15" max="15"/>
    <col width="11.88671875" bestFit="1" customWidth="1" min="16" max="16"/>
    <col width="12.44140625" bestFit="1" customWidth="1" min="19" max="19"/>
  </cols>
  <sheetData>
    <row r="2">
      <c r="A2" s="431" t="inlineStr">
        <is>
          <t>STAGE2 - REBUILD CONTROLLED BLOCK</t>
        </is>
      </c>
      <c r="B2" s="431" t="inlineStr"/>
      <c r="C2" s="431" t="inlineStr"/>
      <c r="D2" s="431" t="inlineStr"/>
      <c r="E2" s="431" t="inlineStr"/>
      <c r="F2" s="431" t="inlineStr"/>
      <c r="G2" t="n">
        <v>2</v>
      </c>
      <c r="H2" t="n">
        <v>2</v>
      </c>
      <c r="I2" t="n">
        <v>2</v>
      </c>
    </row>
    <row r="3">
      <c r="A3" s="431" t="inlineStr">
        <is>
          <t>Concepto</t>
        </is>
      </c>
      <c r="B3" s="432" t="inlineStr">
        <is>
          <t>Valor</t>
        </is>
      </c>
      <c r="C3" s="433" t="inlineStr">
        <is>
          <t>Unidad</t>
        </is>
      </c>
      <c r="D3" s="434" t="inlineStr">
        <is>
          <t>Origen</t>
        </is>
      </c>
      <c r="E3" s="434" t="inlineStr">
        <is>
          <t>Comentario</t>
        </is>
      </c>
      <c r="F3" s="434" t="inlineStr">
        <is>
          <t>Estado</t>
        </is>
      </c>
      <c r="G3" s="69" t="inlineStr">
        <is>
          <t>Mes 4</t>
        </is>
      </c>
      <c r="H3" s="69" t="inlineStr">
        <is>
          <t>Mes 5</t>
        </is>
      </c>
      <c r="I3" s="69" t="inlineStr">
        <is>
          <t>Mes 6</t>
        </is>
      </c>
      <c r="J3" s="69" t="inlineStr">
        <is>
          <t>Mes 7</t>
        </is>
      </c>
      <c r="K3" s="69" t="inlineStr">
        <is>
          <t>Mes 8</t>
        </is>
      </c>
      <c r="L3" s="69" t="inlineStr">
        <is>
          <t>Mes 9</t>
        </is>
      </c>
      <c r="M3" s="69" t="inlineStr">
        <is>
          <t>Mes 10</t>
        </is>
      </c>
      <c r="N3" s="69" t="inlineStr">
        <is>
          <t>Mes 11</t>
        </is>
      </c>
      <c r="O3" s="69" t="inlineStr">
        <is>
          <t>Mes 12</t>
        </is>
      </c>
      <c r="P3" s="70" t="inlineStr">
        <is>
          <t>Total</t>
        </is>
      </c>
    </row>
    <row r="4">
      <c r="A4" t="inlineStr">
        <is>
          <t>Ingreso mensual full ocupación</t>
        </is>
      </c>
      <c r="B4" s="435" t="n">
        <v>1000000</v>
      </c>
      <c r="C4" s="347" t="inlineStr">
        <is>
          <t>CLP</t>
        </is>
      </c>
      <c r="D4" s="347" t="inlineStr">
        <is>
          <t>ENGINE_STAGE2</t>
        </is>
      </c>
      <c r="E4" s="347" t="inlineStr">
        <is>
          <t>Base controlada temporal</t>
        </is>
      </c>
      <c r="F4" s="347" t="inlineStr">
        <is>
          <t>OK</t>
        </is>
      </c>
      <c r="G4" s="347">
        <f>SUM(Arriendo!F4:F9)</f>
        <v/>
      </c>
      <c r="H4" s="347">
        <f>SUM(Arriendo!F4:F11)</f>
        <v/>
      </c>
      <c r="I4" s="347">
        <f>SUM(Arriendo!F4:F15)</f>
        <v/>
      </c>
      <c r="J4" s="347">
        <f>SUM(Arriendo!F4:F18)</f>
        <v/>
      </c>
      <c r="K4" s="347">
        <f>J4</f>
        <v/>
      </c>
      <c r="L4" s="347">
        <f>K4</f>
        <v/>
      </c>
      <c r="M4" s="347">
        <f>L4</f>
        <v/>
      </c>
      <c r="N4" s="347">
        <f>M4</f>
        <v/>
      </c>
      <c r="O4" s="347">
        <f>N4</f>
        <v/>
      </c>
      <c r="P4" s="348">
        <f>SUM(C4:O4)</f>
        <v/>
      </c>
    </row>
    <row r="5">
      <c r="A5" t="inlineStr">
        <is>
          <t>Ocupación estabilizada</t>
        </is>
      </c>
      <c r="B5" s="436" t="n">
        <v>0.9</v>
      </c>
      <c r="C5" s="28" t="inlineStr">
        <is>
          <t>ratio</t>
        </is>
      </c>
      <c r="D5" s="349" t="inlineStr">
        <is>
          <t>ENGINE_STAGE2</t>
        </is>
      </c>
      <c r="E5" s="349" t="inlineStr">
        <is>
          <t>Supuesto estabilizado</t>
        </is>
      </c>
      <c r="F5" s="349" t="inlineStr">
        <is>
          <t>OK</t>
        </is>
      </c>
      <c r="G5" s="349">
        <f>C11*0.19</f>
        <v/>
      </c>
      <c r="H5" s="349" t="n"/>
      <c r="I5" s="349" t="n"/>
      <c r="J5" s="349" t="n"/>
      <c r="K5" s="349" t="n"/>
      <c r="L5" s="349" t="n"/>
      <c r="M5" s="349" t="n"/>
      <c r="N5" s="349" t="n"/>
      <c r="O5" s="349" t="n"/>
      <c r="P5" s="350">
        <f>SUM(C5:O5)</f>
        <v/>
      </c>
    </row>
    <row r="6">
      <c r="A6" t="inlineStr">
        <is>
          <t>Ingreso mensual efectivo</t>
        </is>
      </c>
      <c r="B6" s="437" t="n">
        <v>900000</v>
      </c>
      <c r="C6" s="351" t="inlineStr">
        <is>
          <t>CLP</t>
        </is>
      </c>
      <c r="D6" s="351" t="inlineStr">
        <is>
          <t>ENGINE_STAGE2</t>
        </is>
      </c>
      <c r="E6" s="351" t="inlineStr">
        <is>
          <t>Ingreso full x ocupación</t>
        </is>
      </c>
      <c r="F6" s="351" t="inlineStr">
        <is>
          <t>OK</t>
        </is>
      </c>
      <c r="G6" s="351">
        <f>'IVA Dptos'!E23</f>
        <v/>
      </c>
      <c r="H6" s="351" t="n"/>
      <c r="I6" s="351" t="n"/>
      <c r="J6" s="351" t="n"/>
      <c r="K6" s="351" t="n"/>
      <c r="L6" s="351" t="n"/>
      <c r="M6" s="351" t="n"/>
      <c r="N6" s="351" t="n"/>
      <c r="O6" s="351" t="n"/>
      <c r="P6" s="352">
        <f>SUM(C6:O6)</f>
        <v/>
      </c>
    </row>
    <row r="7">
      <c r="A7" t="inlineStr">
        <is>
          <t>Egreso mensual placeholder</t>
        </is>
      </c>
      <c r="B7" s="438" t="n">
        <v>250000</v>
      </c>
      <c r="C7" s="88" t="inlineStr">
        <is>
          <t>CLP</t>
        </is>
      </c>
      <c r="D7" s="69" t="inlineStr">
        <is>
          <t>ENGINE_STAGE2</t>
        </is>
      </c>
      <c r="E7" s="95" t="inlineStr">
        <is>
          <t>Placeholder técnico</t>
        </is>
      </c>
      <c r="F7" s="95" t="inlineStr">
        <is>
          <t>PENDING_REFINEMENT</t>
        </is>
      </c>
      <c r="G7" s="95">
        <f>SUM(G4:G6)</f>
        <v/>
      </c>
      <c r="H7" s="95">
        <f>SUM(H4:H6)</f>
        <v/>
      </c>
      <c r="I7" s="95">
        <f>SUM(I4:I6)</f>
        <v/>
      </c>
      <c r="J7" s="95">
        <f>SUM(J4:J6)</f>
        <v/>
      </c>
      <c r="K7" s="95">
        <f>SUM(K4:K6)</f>
        <v/>
      </c>
      <c r="L7" s="95">
        <f>SUM(L4:L6)</f>
        <v/>
      </c>
      <c r="M7" s="95">
        <f>SUM(M4:M6)</f>
        <v/>
      </c>
      <c r="N7" s="95">
        <f>SUM(N4:N6)</f>
        <v/>
      </c>
      <c r="O7" s="95">
        <f>SUM(O4:O6)</f>
        <v/>
      </c>
      <c r="P7" s="96">
        <f>SUM(P4:P6)</f>
        <v/>
      </c>
    </row>
    <row r="8">
      <c r="A8" t="inlineStr">
        <is>
          <t>Flujo mensual neto</t>
        </is>
      </c>
      <c r="B8" s="107" t="n">
        <v>650000</v>
      </c>
      <c r="C8" t="inlineStr">
        <is>
          <t>CLP</t>
        </is>
      </c>
      <c r="D8" t="inlineStr">
        <is>
          <t>ENGINE_STAGE2</t>
        </is>
      </c>
      <c r="E8" t="inlineStr">
        <is>
          <t>Ingreso efectivo - egreso</t>
        </is>
      </c>
      <c r="F8" t="inlineStr">
        <is>
          <t>OK</t>
        </is>
      </c>
    </row>
    <row r="9">
      <c r="A9" t="inlineStr">
        <is>
          <t>Flujo acumulado 1 mes</t>
        </is>
      </c>
      <c r="B9" s="107" t="n">
        <v>650000</v>
      </c>
      <c r="C9" t="inlineStr">
        <is>
          <t>CLP</t>
        </is>
      </c>
      <c r="D9" t="inlineStr">
        <is>
          <t>ENGINE_STAGE2</t>
        </is>
      </c>
      <c r="E9" t="inlineStr">
        <is>
          <t>Acumulado simple</t>
        </is>
      </c>
      <c r="F9" t="inlineStr">
        <is>
          <t>OK</t>
        </is>
      </c>
    </row>
    <row r="10">
      <c r="A10" t="inlineStr">
        <is>
          <t>Ingreso anual estabilizado</t>
        </is>
      </c>
      <c r="B10" s="438" t="n">
        <v>10800000</v>
      </c>
      <c r="C10" s="88" t="inlineStr">
        <is>
          <t>CLP</t>
        </is>
      </c>
      <c r="D10" s="69" t="inlineStr">
        <is>
          <t>ENGINE_STAGE2</t>
        </is>
      </c>
      <c r="E10" s="69" t="inlineStr">
        <is>
          <t>Mensual efectivo x 12</t>
        </is>
      </c>
      <c r="F10" s="69" t="inlineStr">
        <is>
          <t>OK</t>
        </is>
      </c>
      <c r="G10" s="69" t="inlineStr">
        <is>
          <t>Mes 4</t>
        </is>
      </c>
      <c r="H10" s="69" t="inlineStr">
        <is>
          <t>Mes 5</t>
        </is>
      </c>
      <c r="I10" s="69" t="inlineStr">
        <is>
          <t>Mes 6</t>
        </is>
      </c>
      <c r="J10" s="69" t="inlineStr">
        <is>
          <t>Mes 7</t>
        </is>
      </c>
      <c r="K10" s="69" t="inlineStr">
        <is>
          <t>Mes 8</t>
        </is>
      </c>
      <c r="L10" s="69" t="inlineStr">
        <is>
          <t>Mes 9</t>
        </is>
      </c>
      <c r="M10" s="69" t="inlineStr">
        <is>
          <t>Mes 10</t>
        </is>
      </c>
      <c r="N10" s="69" t="inlineStr">
        <is>
          <t>Mes 11</t>
        </is>
      </c>
      <c r="O10" s="69" t="inlineStr">
        <is>
          <t>Mes 12</t>
        </is>
      </c>
      <c r="P10" s="70" t="inlineStr">
        <is>
          <t>Total</t>
        </is>
      </c>
    </row>
    <row r="11">
      <c r="A11" s="439" t="inlineStr">
        <is>
          <t>Nota</t>
        </is>
      </c>
      <c r="B11" s="440" t="inlineStr">
        <is>
          <t>Este bloque reemplaza temporalmente parte de la hoja .IA para probar desacople del Excel original.</t>
        </is>
      </c>
      <c r="C11" s="347" t="inlineStr"/>
      <c r="D11" s="347" t="inlineStr">
        <is>
          <t>SYSTEM</t>
        </is>
      </c>
      <c r="E11" s="347" t="inlineStr"/>
      <c r="F11" s="347" t="inlineStr">
        <is>
          <t>INFO</t>
        </is>
      </c>
      <c r="G11" s="347" t="n"/>
      <c r="H11" s="347" t="n"/>
      <c r="I11" s="347" t="n"/>
      <c r="J11" s="347" t="n"/>
      <c r="K11" s="347" t="n"/>
      <c r="L11" s="347" t="n"/>
      <c r="M11" s="347" t="n"/>
      <c r="N11" s="347" t="n"/>
      <c r="O11" s="347" t="n"/>
      <c r="P11" s="348">
        <f>SUM(C11:O11)</f>
        <v/>
      </c>
    </row>
    <row r="12">
      <c r="B12" s="27" t="n"/>
      <c r="C12" s="349" t="n"/>
      <c r="D12" s="349" t="n"/>
      <c r="E12" s="349" t="n"/>
      <c r="G12" s="349">
        <f>Arriendo!$T$10</f>
        <v/>
      </c>
      <c r="H12" s="349" t="n"/>
      <c r="I12" s="349">
        <f>Arriendo!$T$10</f>
        <v/>
      </c>
      <c r="K12" s="349" t="n"/>
      <c r="L12" s="349">
        <f>Arriendo!$T$10</f>
        <v/>
      </c>
      <c r="M12" s="349" t="n"/>
      <c r="N12" s="349">
        <f>Arriendo!$T$10</f>
        <v/>
      </c>
      <c r="O12" s="349" t="n"/>
      <c r="P12" s="350">
        <f>SUM(C12:O12)</f>
        <v/>
      </c>
    </row>
    <row r="13">
      <c r="B13" s="27" t="n"/>
      <c r="C13" s="349" t="n"/>
      <c r="D13" s="349" t="n"/>
      <c r="E13" s="349" t="n"/>
      <c r="F13" s="349" t="n"/>
      <c r="G13" s="349">
        <f>-'Crédito Comercial 12A'!$H$8</f>
        <v/>
      </c>
      <c r="H13" s="349">
        <f>-'Crédito Comercial 12A'!$H$8</f>
        <v/>
      </c>
      <c r="I13" s="349">
        <f>-'Crédito Comercial 12A'!$H$8</f>
        <v/>
      </c>
      <c r="J13" s="349">
        <f>-'Crédito Comercial 12A'!$H$8</f>
        <v/>
      </c>
      <c r="K13" s="349">
        <f>-'Crédito Comercial 12A'!$H$8</f>
        <v/>
      </c>
      <c r="L13" s="349">
        <f>-'Crédito Comercial 12A'!$H$8</f>
        <v/>
      </c>
      <c r="M13" s="349">
        <f>-'Crédito Comercial 12A'!$H$8</f>
        <v/>
      </c>
      <c r="N13" s="349">
        <f>-'Crédito Comercial 12A'!$H$8</f>
        <v/>
      </c>
      <c r="O13" s="349">
        <f>-'Crédito Comercial 12A'!$H$8</f>
        <v/>
      </c>
      <c r="P13" s="350">
        <f>SUM(C13:O13)</f>
        <v/>
      </c>
      <c r="Q13" s="290">
        <f>+P13-P4</f>
        <v/>
      </c>
    </row>
    <row r="14">
      <c r="B14" s="27" t="n"/>
      <c r="C14" s="349" t="n"/>
      <c r="D14" s="349" t="n"/>
      <c r="E14" s="349" t="n"/>
      <c r="F14" s="349" t="n"/>
      <c r="G14" s="349" t="n"/>
      <c r="H14" s="349" t="n"/>
      <c r="I14" s="349" t="n"/>
      <c r="J14" s="349" t="n"/>
      <c r="K14" s="349" t="n"/>
      <c r="L14" s="349" t="n"/>
      <c r="M14" s="349" t="n"/>
      <c r="N14" s="349" t="n"/>
      <c r="O14" s="349" t="n"/>
      <c r="P14" s="350">
        <f>SUM(C14:O14)</f>
        <v/>
      </c>
    </row>
    <row r="15">
      <c r="B15" s="27" t="n"/>
      <c r="C15" s="349" t="n"/>
      <c r="D15" s="349" t="n"/>
      <c r="E15" s="349" t="n"/>
      <c r="F15" s="349" t="n"/>
      <c r="G15" s="349">
        <f>Arriendo!$R$19*2</f>
        <v/>
      </c>
      <c r="H15" s="349">
        <f>Arriendo!$R$19*2</f>
        <v/>
      </c>
      <c r="I15" s="349">
        <f>Arriendo!$R$19*4</f>
        <v/>
      </c>
      <c r="J15" s="349">
        <f>Arriendo!$R$19*3</f>
        <v/>
      </c>
      <c r="K15" s="349" t="n"/>
      <c r="L15" s="349" t="n"/>
      <c r="M15" s="349" t="n"/>
      <c r="N15" s="349" t="n"/>
      <c r="O15" s="349" t="n"/>
      <c r="P15" s="350">
        <f>SUM(C15:O15)</f>
        <v/>
      </c>
    </row>
    <row r="16">
      <c r="B16" s="27" t="n"/>
      <c r="C16" s="349" t="n"/>
      <c r="D16" s="349" t="n"/>
      <c r="E16" s="349" t="n"/>
      <c r="F16" s="349" t="n"/>
      <c r="G16" s="349">
        <f>Arriendo!$R$22*9</f>
        <v/>
      </c>
      <c r="H16" s="349">
        <f>Arriendo!$R$22*7</f>
        <v/>
      </c>
      <c r="I16" s="349">
        <f>Arriendo!$R$22*3</f>
        <v/>
      </c>
      <c r="J16" s="349" t="n">
        <v>0</v>
      </c>
      <c r="K16" s="349" t="n">
        <v>0</v>
      </c>
      <c r="L16" s="349" t="n">
        <v>0</v>
      </c>
      <c r="M16" s="349" t="n">
        <v>0</v>
      </c>
      <c r="N16" s="349" t="n">
        <v>0</v>
      </c>
      <c r="O16" s="349" t="n">
        <v>0</v>
      </c>
      <c r="P16" s="350">
        <f>SUM(C16:O16)</f>
        <v/>
      </c>
    </row>
    <row r="17">
      <c r="B17" s="27" t="n"/>
      <c r="C17" s="349" t="n"/>
      <c r="D17" s="349" t="n"/>
      <c r="E17" s="349" t="n"/>
      <c r="F17" s="349" t="n"/>
      <c r="G17" s="349">
        <f>Arriendo!$R$31*6</f>
        <v/>
      </c>
      <c r="H17" s="349">
        <f>Arriendo!$R$31*8</f>
        <v/>
      </c>
      <c r="I17" s="349">
        <f>Arriendo!$R$31*12</f>
        <v/>
      </c>
      <c r="J17" s="349">
        <f>Arriendo!$R$31*15</f>
        <v/>
      </c>
      <c r="K17" s="349">
        <f>J17</f>
        <v/>
      </c>
      <c r="L17" s="349">
        <f>K17</f>
        <v/>
      </c>
      <c r="M17" s="349">
        <f>L17</f>
        <v/>
      </c>
      <c r="N17" s="349">
        <f>M17</f>
        <v/>
      </c>
      <c r="O17" s="349">
        <f>N17</f>
        <v/>
      </c>
      <c r="P17" s="350">
        <f>SUM(C17:O17)</f>
        <v/>
      </c>
    </row>
    <row r="18">
      <c r="B18" s="27" t="n"/>
      <c r="C18" s="349" t="n"/>
      <c r="D18" s="349" t="n"/>
      <c r="E18" s="349" t="n"/>
      <c r="F18" s="349" t="n"/>
      <c r="G18" s="349" t="n">
        <v>0</v>
      </c>
      <c r="H18" s="349" t="n">
        <v>0</v>
      </c>
      <c r="I18" s="349" t="n">
        <v>0</v>
      </c>
      <c r="J18" s="349" t="n">
        <v>0</v>
      </c>
      <c r="K18" s="349" t="n">
        <v>0</v>
      </c>
      <c r="L18" s="349" t="n">
        <v>0</v>
      </c>
      <c r="M18" s="349" t="n">
        <v>0</v>
      </c>
      <c r="N18" s="349" t="n">
        <v>0</v>
      </c>
      <c r="O18" s="349" t="n">
        <v>0</v>
      </c>
      <c r="P18" s="350">
        <f>SUM(C18:O18)</f>
        <v/>
      </c>
    </row>
    <row r="19">
      <c r="B19" s="27" t="n"/>
      <c r="C19" s="349" t="n"/>
      <c r="D19" s="349" t="n"/>
      <c r="E19" s="349" t="n"/>
      <c r="F19" s="349" t="n"/>
      <c r="G19" s="349">
        <f>Arriendo!$T$28</f>
        <v/>
      </c>
      <c r="H19" s="349">
        <f>Arriendo!$T$28</f>
        <v/>
      </c>
      <c r="I19" s="349">
        <f>Arriendo!$T$28</f>
        <v/>
      </c>
      <c r="J19" s="349">
        <f>Arriendo!$T$28</f>
        <v/>
      </c>
      <c r="K19" s="349">
        <f>Arriendo!$T$28</f>
        <v/>
      </c>
      <c r="L19" s="349">
        <f>Arriendo!$T$28</f>
        <v/>
      </c>
      <c r="M19" s="349">
        <f>Arriendo!$T$28</f>
        <v/>
      </c>
      <c r="N19" s="349">
        <f>Arriendo!$T$28</f>
        <v/>
      </c>
      <c r="O19" s="349">
        <f>Arriendo!$T$28</f>
        <v/>
      </c>
      <c r="P19" s="350">
        <f>SUM(C19:O19)</f>
        <v/>
      </c>
    </row>
    <row r="20">
      <c r="B20" s="31" t="n"/>
      <c r="C20" s="351" t="n"/>
      <c r="D20" s="351" t="n"/>
      <c r="E20" s="351" t="n"/>
      <c r="F20" s="351" t="n"/>
      <c r="G20" s="351">
        <f>SUM(Arriendo!K4:K9)</f>
        <v/>
      </c>
      <c r="H20" s="351">
        <f>SUM(Arriendo!$K$4:$K$11)</f>
        <v/>
      </c>
      <c r="I20" s="351">
        <f>SUM(Arriendo!$K$4:$K$15)</f>
        <v/>
      </c>
      <c r="J20" s="351">
        <f>SUM(Arriendo!$K$4:$K$18)</f>
        <v/>
      </c>
      <c r="K20" s="351">
        <f>+J20</f>
        <v/>
      </c>
      <c r="L20" s="351">
        <f>+K20</f>
        <v/>
      </c>
      <c r="M20" s="351">
        <f>+L20</f>
        <v/>
      </c>
      <c r="N20" s="351">
        <f>+M20</f>
        <v/>
      </c>
      <c r="O20" s="351">
        <f>+N20</f>
        <v/>
      </c>
      <c r="P20" s="352">
        <f>SUM(C20:O20)</f>
        <v/>
      </c>
      <c r="R20" s="290" t="n"/>
    </row>
    <row r="21">
      <c r="B21" s="36" t="n"/>
      <c r="C21" s="92" t="n"/>
      <c r="D21" s="93" t="n"/>
      <c r="E21" s="93" t="n"/>
      <c r="F21" s="93" t="n"/>
      <c r="G21" s="93">
        <f>SUM(G11:G20)</f>
        <v/>
      </c>
      <c r="H21" s="93">
        <f>SUM(H11:H20)</f>
        <v/>
      </c>
      <c r="I21" s="93">
        <f>SUM(I11:I20)</f>
        <v/>
      </c>
      <c r="J21" s="93">
        <f>SUM(J11:J20)</f>
        <v/>
      </c>
      <c r="K21" s="93">
        <f>SUM(K11:K20)</f>
        <v/>
      </c>
      <c r="L21" s="93">
        <f>SUM(L11:L20)</f>
        <v/>
      </c>
      <c r="M21" s="93">
        <f>SUM(M11:M20)</f>
        <v/>
      </c>
      <c r="N21" s="93">
        <f>SUM(N11:N20)</f>
        <v/>
      </c>
      <c r="O21" s="93">
        <f>SUM(O11:O20)</f>
        <v/>
      </c>
      <c r="P21" s="94">
        <f>SUM(P11:P20)</f>
        <v/>
      </c>
      <c r="Q21" s="107" t="n"/>
    </row>
    <row r="22"/>
    <row r="23">
      <c r="B23" s="36" t="n"/>
      <c r="C23" s="353" t="n"/>
      <c r="D23" s="354" t="n"/>
      <c r="E23" s="354" t="n"/>
      <c r="F23" s="354" t="n"/>
      <c r="G23" s="354">
        <f>G7-G21</f>
        <v/>
      </c>
      <c r="H23" s="354">
        <f>H7-H21</f>
        <v/>
      </c>
      <c r="I23" s="354">
        <f>I7-I21</f>
        <v/>
      </c>
      <c r="J23" s="354">
        <f>J7-J21</f>
        <v/>
      </c>
      <c r="K23" s="354">
        <f>K7-K21</f>
        <v/>
      </c>
      <c r="L23" s="354">
        <f>L7-L21</f>
        <v/>
      </c>
      <c r="M23" s="354">
        <f>M7-M21</f>
        <v/>
      </c>
      <c r="N23" s="354">
        <f>N7-N21</f>
        <v/>
      </c>
      <c r="O23" s="354">
        <f>O7-O21</f>
        <v/>
      </c>
      <c r="P23" s="355">
        <f>SUM(C23:O23)</f>
        <v/>
      </c>
    </row>
    <row r="24">
      <c r="B24" s="36" t="n"/>
      <c r="C24" s="353" t="n"/>
      <c r="D24" s="354" t="n"/>
      <c r="E24" s="354" t="n"/>
      <c r="F24" s="354" t="n"/>
      <c r="G24" s="354">
        <f>F24+G23</f>
        <v/>
      </c>
      <c r="H24" s="354">
        <f>G24+H23</f>
        <v/>
      </c>
      <c r="I24" s="354">
        <f>H24+I23</f>
        <v/>
      </c>
      <c r="J24" s="354">
        <f>I24+J23</f>
        <v/>
      </c>
      <c r="K24" s="354">
        <f>J24+K23</f>
        <v/>
      </c>
      <c r="L24" s="354">
        <f>K24+L23</f>
        <v/>
      </c>
      <c r="M24" s="354">
        <f>L24+M23</f>
        <v/>
      </c>
      <c r="N24" s="354">
        <f>M24+N23</f>
        <v/>
      </c>
      <c r="O24" s="354">
        <f>N24+O23</f>
        <v/>
      </c>
      <c r="P24" s="355" t="n"/>
    </row>
    <row r="28">
      <c r="C28" s="290" t="n"/>
      <c r="E28" t="n">
        <v>6</v>
      </c>
      <c r="F28" t="n">
        <v>9</v>
      </c>
      <c r="G28" t="n">
        <v>13</v>
      </c>
      <c r="H28" t="n">
        <v>20</v>
      </c>
    </row>
    <row r="29">
      <c r="C29" s="290" t="n"/>
      <c r="E29" t="n">
        <v>7</v>
      </c>
      <c r="F29" t="n">
        <v>10</v>
      </c>
      <c r="G29" t="n">
        <v>15</v>
      </c>
      <c r="H29" t="n">
        <v>23</v>
      </c>
    </row>
    <row r="30">
      <c r="E30" t="n">
        <v>8</v>
      </c>
      <c r="F30" t="n">
        <v>11</v>
      </c>
      <c r="G30" t="n">
        <v>17</v>
      </c>
      <c r="H30" t="n">
        <v>4</v>
      </c>
      <c r="S30" s="312" t="n"/>
    </row>
    <row r="31">
      <c r="E31" t="n">
        <v>12</v>
      </c>
      <c r="F31" t="n">
        <v>14</v>
      </c>
      <c r="G31" t="n">
        <v>18</v>
      </c>
      <c r="H31" t="n">
        <v>5</v>
      </c>
    </row>
    <row r="32">
      <c r="E32" t="n">
        <v>21</v>
      </c>
      <c r="F32" t="n">
        <v>22</v>
      </c>
      <c r="G32" t="n">
        <v>19</v>
      </c>
      <c r="H32" t="n">
        <v>15</v>
      </c>
    </row>
    <row r="37">
      <c r="O37" s="284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.44140625" bestFit="1" customWidth="1" min="5" max="5"/>
    <col width="11" bestFit="1" customWidth="1" min="6" max="6"/>
    <col width="10.44140625" bestFit="1" customWidth="1" min="7" max="7"/>
    <col width="11.109375" bestFit="1" customWidth="1" min="8" max="8"/>
    <col width="11.5546875" bestFit="1" customWidth="1" min="9" max="10"/>
    <col width="6.109375" bestFit="1" customWidth="1" min="11" max="11"/>
    <col width="11.5546875" bestFit="1" customWidth="1" min="12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'Flujo mensual'!$P$13</f>
        <v/>
      </c>
      <c r="G13" s="349">
        <f>'Flujo mensual'!$P$13</f>
        <v/>
      </c>
      <c r="H13" s="349">
        <f>'Flujo mensual'!$P$13</f>
        <v/>
      </c>
      <c r="I13" s="349">
        <f>'Flujo mensual'!$P$13</f>
        <v/>
      </c>
      <c r="J13" s="349">
        <f>'Flujo mensual'!$P$13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C12'!O9</f>
        <v/>
      </c>
      <c r="G19" s="349">
        <f>'Crédito C12'!AA9</f>
        <v/>
      </c>
      <c r="H19" s="349">
        <f>'Crédito C12'!AM9</f>
        <v/>
      </c>
      <c r="I19" s="349">
        <f>'Crédito C12'!AY9</f>
        <v/>
      </c>
      <c r="J19" s="349">
        <f>'Crédito C12'!BK9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  <c r="P24" s="290">
        <f>N7-N22-J27-J28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12A'!K67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2000</v>
      </c>
      <c r="H30" s="347" t="n">
        <v>4500</v>
      </c>
      <c r="I30" s="347" t="n">
        <v>5000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0">
      <c r="D40" s="13">
        <f>IRR(E25:J25)</f>
        <v/>
      </c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92D050"/>
    <outlinePr summaryBelow="1" summaryRight="1"/>
    <pageSetUpPr/>
  </sheetPr>
  <dimension ref="B2:AA49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1.5546875" customWidth="1" min="3" max="3"/>
    <col width="27.77734375" bestFit="1" customWidth="1" min="4" max="4"/>
    <col hidden="1" width="10" customWidth="1" min="5" max="5"/>
    <col hidden="1" width="10.44140625" customWidth="1" min="6" max="7"/>
    <col hidden="1" width="11.109375" customWidth="1" min="8" max="9"/>
    <col hidden="1" width="11.5546875" customWidth="1" min="10" max="10"/>
    <col hidden="1" width="6.109375" customWidth="1" min="11" max="11"/>
    <col hidden="1" width="11.109375" customWidth="1" min="12" max="12"/>
    <col hidden="1" width="11.6640625" customWidth="1" min="13" max="13"/>
    <col width="11.5546875" bestFit="1" customWidth="1" min="14" max="14"/>
    <col width="6.6640625" customWidth="1" min="15" max="15"/>
    <col width="27.77734375" bestFit="1" customWidth="1" min="16" max="16"/>
    <col hidden="1" width="16.6640625" customWidth="1" min="17" max="17"/>
    <col hidden="1" width="18" customWidth="1" min="18" max="18"/>
    <col hidden="1" width="17.21875" customWidth="1" min="19" max="19"/>
    <col hidden="1" width="11.5546875" customWidth="1" min="20" max="25"/>
    <col width="1.21875" customWidth="1" min="27" max="27"/>
  </cols>
  <sheetData>
    <row r="1" ht="15" customHeight="1" thickBot="1"/>
    <row r="2" ht="15" customHeight="1" thickBot="1">
      <c r="D2" s="388" t="inlineStr">
        <is>
          <t>Proyecto a 5 años Perfil 12</t>
        </is>
      </c>
      <c r="E2" s="389" t="n"/>
      <c r="F2" s="389" t="n"/>
      <c r="G2" s="389" t="n"/>
      <c r="H2" s="389" t="n"/>
      <c r="I2" s="389" t="n"/>
      <c r="J2" s="389" t="n"/>
      <c r="K2" s="389" t="n"/>
      <c r="L2" s="389" t="n"/>
      <c r="M2" s="389" t="n"/>
      <c r="N2" s="390" t="n"/>
      <c r="P2" s="388" t="inlineStr">
        <is>
          <t>Proyecto a 5 años Perfil 20</t>
        </is>
      </c>
      <c r="Q2" s="389" t="n"/>
      <c r="R2" s="389" t="n"/>
      <c r="S2" s="389" t="n"/>
      <c r="T2" s="389" t="n"/>
      <c r="U2" s="389" t="n"/>
      <c r="V2" s="389" t="n"/>
      <c r="W2" s="389" t="n"/>
      <c r="X2" s="389" t="n"/>
      <c r="Y2" s="389" t="n"/>
      <c r="Z2" s="390" t="n"/>
    </row>
    <row r="3" ht="6" customHeight="1"/>
    <row r="4">
      <c r="D4" s="36" t="inlineStr">
        <is>
          <t>Ingresos</t>
        </is>
      </c>
      <c r="E4" s="69" t="inlineStr">
        <is>
          <t>Año 0</t>
        </is>
      </c>
      <c r="F4" s="69" t="inlineStr">
        <is>
          <t>Año 1</t>
        </is>
      </c>
      <c r="G4" s="69" t="inlineStr">
        <is>
          <t>Año 2</t>
        </is>
      </c>
      <c r="H4" s="69" t="inlineStr">
        <is>
          <t>Año 3</t>
        </is>
      </c>
      <c r="I4" s="69" t="inlineStr">
        <is>
          <t>Año 4</t>
        </is>
      </c>
      <c r="J4" s="69" t="inlineStr">
        <is>
          <t>Año 5</t>
        </is>
      </c>
      <c r="K4" s="69" t="inlineStr">
        <is>
          <t>Año 6</t>
        </is>
      </c>
      <c r="L4" s="123" t="inlineStr">
        <is>
          <t>Dev. Prest</t>
        </is>
      </c>
      <c r="M4" s="123" t="inlineStr">
        <is>
          <t>Dividendo</t>
        </is>
      </c>
      <c r="N4" s="70" t="inlineStr">
        <is>
          <t>Total</t>
        </is>
      </c>
      <c r="O4" s="119" t="n"/>
      <c r="P4" s="36" t="inlineStr">
        <is>
          <t>Ingresos</t>
        </is>
      </c>
      <c r="Q4" s="69" t="inlineStr">
        <is>
          <t>Año 0</t>
        </is>
      </c>
      <c r="R4" s="69" t="inlineStr">
        <is>
          <t>Año 1</t>
        </is>
      </c>
      <c r="S4" s="69" t="inlineStr">
        <is>
          <t>Año 2</t>
        </is>
      </c>
      <c r="T4" s="69" t="inlineStr">
        <is>
          <t>Año 3</t>
        </is>
      </c>
      <c r="U4" s="69" t="inlineStr">
        <is>
          <t>Año 4</t>
        </is>
      </c>
      <c r="V4" s="69" t="inlineStr">
        <is>
          <t>Año 5</t>
        </is>
      </c>
      <c r="W4" s="69" t="inlineStr">
        <is>
          <t>Año 6</t>
        </is>
      </c>
      <c r="X4" s="123" t="inlineStr">
        <is>
          <t>Dev. Prest</t>
        </is>
      </c>
      <c r="Y4" s="123" t="inlineStr">
        <is>
          <t>Dividendo</t>
        </is>
      </c>
      <c r="Z4" s="70" t="inlineStr">
        <is>
          <t>Total</t>
        </is>
      </c>
      <c r="AA4" s="119" t="n"/>
    </row>
    <row r="5">
      <c r="D5" s="227" t="inlineStr">
        <is>
          <t>Arriendos</t>
        </is>
      </c>
      <c r="E5" s="391" t="n"/>
      <c r="F5" s="391">
        <f>'Flujo mensual'!P4</f>
        <v/>
      </c>
      <c r="G5" s="391">
        <f>'Flujo mensual'!$O$4*12*0.9</f>
        <v/>
      </c>
      <c r="H5" s="391">
        <f>'Flujo mensual'!$O$4*12*0.9</f>
        <v/>
      </c>
      <c r="I5" s="391">
        <f>'Flujo mensual'!$O$4*12*0.9</f>
        <v/>
      </c>
      <c r="J5" s="391">
        <f>'Flujo mensual'!$O$4*12*0.9</f>
        <v/>
      </c>
      <c r="K5" s="392" t="n"/>
      <c r="L5" s="392" t="n"/>
      <c r="M5" s="392" t="n"/>
      <c r="N5" s="393">
        <f>SUM(F5:M5)</f>
        <v/>
      </c>
      <c r="O5" s="394" t="n"/>
      <c r="P5" s="227" t="inlineStr">
        <is>
          <t>Arriendos</t>
        </is>
      </c>
      <c r="Q5" s="391" t="n"/>
      <c r="R5" s="391">
        <f>'Flujo 5 años C20'!F3</f>
        <v/>
      </c>
      <c r="S5" s="391">
        <f>'Flujo 5 años C20'!G3</f>
        <v/>
      </c>
      <c r="T5" s="391">
        <f>'Flujo 5 años C20'!H3</f>
        <v/>
      </c>
      <c r="U5" s="391">
        <f>'Flujo 5 años C20'!I3</f>
        <v/>
      </c>
      <c r="V5" s="391">
        <f>'Flujo 5 años C20'!J3</f>
        <v/>
      </c>
      <c r="W5" s="392" t="n"/>
      <c r="X5" s="392" t="n"/>
      <c r="Y5" s="392" t="n"/>
      <c r="Z5" s="393">
        <f>SUM(R5:Y5)</f>
        <v/>
      </c>
      <c r="AA5" s="394" t="n"/>
    </row>
    <row r="6">
      <c r="D6" s="196" t="inlineStr">
        <is>
          <t>C. Fiscal Equip.</t>
        </is>
      </c>
      <c r="E6" s="395" t="n"/>
      <c r="F6" s="395">
        <f>'Flujo mensual'!G5</f>
        <v/>
      </c>
      <c r="G6" s="395" t="n">
        <v>0</v>
      </c>
      <c r="H6" s="395" t="n">
        <v>0</v>
      </c>
      <c r="I6" s="395" t="n">
        <v>0</v>
      </c>
      <c r="J6" s="395" t="n">
        <v>0</v>
      </c>
      <c r="K6" s="396" t="n"/>
      <c r="L6" s="396" t="n"/>
      <c r="M6" s="396" t="n"/>
      <c r="N6" s="397">
        <f>SUM(F6:M6)</f>
        <v/>
      </c>
      <c r="O6" s="394" t="n"/>
      <c r="P6" s="196" t="inlineStr">
        <is>
          <t>C. Fiscal Equip.</t>
        </is>
      </c>
      <c r="Q6" s="395" t="n"/>
      <c r="R6" s="395">
        <f>'Flujo 5 años C20'!F4</f>
        <v/>
      </c>
      <c r="S6" s="395" t="n">
        <v>0</v>
      </c>
      <c r="T6" s="395" t="n">
        <v>0</v>
      </c>
      <c r="U6" s="395" t="n">
        <v>0</v>
      </c>
      <c r="V6" s="395" t="n">
        <v>0</v>
      </c>
      <c r="W6" s="396" t="n"/>
      <c r="X6" s="396" t="n"/>
      <c r="Y6" s="396" t="n"/>
      <c r="Z6" s="397">
        <f>SUM(R6:Y6)</f>
        <v/>
      </c>
      <c r="AA6" s="394" t="n"/>
    </row>
    <row r="7">
      <c r="D7" s="196" t="inlineStr">
        <is>
          <t>C. Fiscal Unidades</t>
        </is>
      </c>
      <c r="E7" s="395" t="n"/>
      <c r="F7" s="395">
        <f>'Flujo mensual'!G6</f>
        <v/>
      </c>
      <c r="G7" s="395" t="n">
        <v>0</v>
      </c>
      <c r="H7" s="395" t="n">
        <v>0</v>
      </c>
      <c r="I7" s="395" t="n">
        <v>0</v>
      </c>
      <c r="J7" s="395" t="n">
        <v>0</v>
      </c>
      <c r="K7" s="396" t="n"/>
      <c r="L7" s="396" t="n"/>
      <c r="M7" s="396" t="n"/>
      <c r="N7" s="397">
        <f>SUM(F7:M7)</f>
        <v/>
      </c>
      <c r="O7" s="394" t="n"/>
      <c r="P7" s="196" t="inlineStr">
        <is>
          <t>C. Fiscal Unidades</t>
        </is>
      </c>
      <c r="Q7" s="395" t="n"/>
      <c r="R7" s="395">
        <f>'Flujo 5 años C20'!F5</f>
        <v/>
      </c>
      <c r="S7" s="395" t="n">
        <v>0</v>
      </c>
      <c r="T7" s="395" t="n">
        <v>0</v>
      </c>
      <c r="U7" s="395" t="n">
        <v>0</v>
      </c>
      <c r="V7" s="395" t="n">
        <v>0</v>
      </c>
      <c r="W7" s="396" t="n"/>
      <c r="X7" s="396" t="n"/>
      <c r="Y7" s="396" t="n"/>
      <c r="Z7" s="397">
        <f>SUM(R7:Y7)</f>
        <v/>
      </c>
      <c r="AA7" s="394" t="n"/>
    </row>
    <row r="8">
      <c r="D8" s="200" t="inlineStr">
        <is>
          <t>Venta propiedades</t>
        </is>
      </c>
      <c r="E8" s="398" t="n"/>
      <c r="F8" s="398" t="n">
        <v>0</v>
      </c>
      <c r="G8" s="398" t="n">
        <v>0</v>
      </c>
      <c r="H8" s="398" t="n">
        <v>0</v>
      </c>
      <c r="I8" s="398" t="n">
        <v>0</v>
      </c>
      <c r="J8" s="398">
        <f>'IVA Dptos'!AD23</f>
        <v/>
      </c>
      <c r="K8" s="399" t="n"/>
      <c r="L8" s="399" t="n"/>
      <c r="M8" s="399" t="n"/>
      <c r="N8" s="400">
        <f>'Flujo 5 años C12'!N6</f>
        <v/>
      </c>
      <c r="O8" s="394" t="n"/>
      <c r="P8" s="200" t="inlineStr">
        <is>
          <t>Venta propiedades</t>
        </is>
      </c>
      <c r="Q8" s="398" t="n"/>
      <c r="R8" s="398" t="n">
        <v>0</v>
      </c>
      <c r="S8" s="398" t="n">
        <v>0</v>
      </c>
      <c r="T8" s="398" t="n">
        <v>0</v>
      </c>
      <c r="U8" s="398" t="n">
        <v>0</v>
      </c>
      <c r="V8" s="398">
        <f>'Flujo 5 años C20'!J6</f>
        <v/>
      </c>
      <c r="W8" s="399" t="n"/>
      <c r="X8" s="399" t="n"/>
      <c r="Y8" s="399" t="n"/>
      <c r="Z8" s="400">
        <f>SUM(R8:Y8)</f>
        <v/>
      </c>
      <c r="AA8" s="394" t="n"/>
    </row>
    <row r="9">
      <c r="D9" s="36" t="inlineStr">
        <is>
          <t>Total Ingresos</t>
        </is>
      </c>
      <c r="E9" s="359">
        <f>SUM(E5:E8)</f>
        <v/>
      </c>
      <c r="F9" s="359">
        <f>SUM(F5:F8)</f>
        <v/>
      </c>
      <c r="G9" s="359">
        <f>SUM(G5:G8)</f>
        <v/>
      </c>
      <c r="H9" s="359">
        <f>SUM(H5:H8)</f>
        <v/>
      </c>
      <c r="I9" s="359">
        <f>SUM(I5:I8)</f>
        <v/>
      </c>
      <c r="J9" s="359">
        <f>SUM(J5:J8)</f>
        <v/>
      </c>
      <c r="K9" s="359">
        <f>SUM(K5:K8)</f>
        <v/>
      </c>
      <c r="L9" s="359">
        <f>SUM(L5:L8)</f>
        <v/>
      </c>
      <c r="M9" s="359">
        <f>SUM(M5:M8)</f>
        <v/>
      </c>
      <c r="N9" s="360">
        <f>SUM(N5:N8)</f>
        <v/>
      </c>
      <c r="O9" s="361" t="n"/>
      <c r="P9" s="36" t="inlineStr">
        <is>
          <t>Total Ingresos</t>
        </is>
      </c>
      <c r="Q9" s="359" t="n">
        <v>0</v>
      </c>
      <c r="R9" s="359">
        <f>SUM(R5:R8)</f>
        <v/>
      </c>
      <c r="S9" s="359">
        <f>SUM(S5:S8)</f>
        <v/>
      </c>
      <c r="T9" s="359">
        <f>SUM(T5:T8)</f>
        <v/>
      </c>
      <c r="U9" s="359">
        <f>SUM(U5:U8)</f>
        <v/>
      </c>
      <c r="V9" s="359">
        <f>SUM(V5:V8)</f>
        <v/>
      </c>
      <c r="W9" s="359" t="n">
        <v>0</v>
      </c>
      <c r="X9" s="359" t="n">
        <v>0</v>
      </c>
      <c r="Y9" s="359" t="n">
        <v>0</v>
      </c>
      <c r="Z9" s="360">
        <f>SUM(Z5:Z8)</f>
        <v/>
      </c>
      <c r="AA9" s="361" t="n"/>
    </row>
    <row r="11">
      <c r="B11" s="1" t="n"/>
      <c r="C11" s="1" t="n"/>
      <c r="D11" s="36" t="inlineStr">
        <is>
          <t>Egresos</t>
        </is>
      </c>
      <c r="E11" s="69" t="inlineStr">
        <is>
          <t>Año 0</t>
        </is>
      </c>
      <c r="F11" s="69" t="inlineStr">
        <is>
          <t>Año 1</t>
        </is>
      </c>
      <c r="G11" s="69" t="inlineStr">
        <is>
          <t>Año 2</t>
        </is>
      </c>
      <c r="H11" s="69" t="inlineStr">
        <is>
          <t>Año 3</t>
        </is>
      </c>
      <c r="I11" s="69" t="inlineStr">
        <is>
          <t>Año 4</t>
        </is>
      </c>
      <c r="J11" s="69" t="inlineStr">
        <is>
          <t>Año 5</t>
        </is>
      </c>
      <c r="K11" s="69" t="inlineStr">
        <is>
          <t>Año 6</t>
        </is>
      </c>
      <c r="L11" s="123" t="n"/>
      <c r="M11" s="123" t="n"/>
      <c r="N11" s="70" t="inlineStr">
        <is>
          <t>Total</t>
        </is>
      </c>
      <c r="O11" s="119" t="n"/>
      <c r="P11" s="36" t="inlineStr">
        <is>
          <t>Egresos</t>
        </is>
      </c>
      <c r="Q11" s="69" t="inlineStr">
        <is>
          <t>Año 0</t>
        </is>
      </c>
      <c r="R11" s="69" t="inlineStr">
        <is>
          <t>Año 1</t>
        </is>
      </c>
      <c r="S11" s="69" t="inlineStr">
        <is>
          <t>Año 2</t>
        </is>
      </c>
      <c r="T11" s="69" t="inlineStr">
        <is>
          <t>Año 3</t>
        </is>
      </c>
      <c r="U11" s="69" t="inlineStr">
        <is>
          <t>Año 4</t>
        </is>
      </c>
      <c r="V11" s="69" t="inlineStr">
        <is>
          <t>Año 5</t>
        </is>
      </c>
      <c r="W11" s="69" t="inlineStr">
        <is>
          <t>Año 6</t>
        </is>
      </c>
      <c r="X11" s="123" t="n"/>
      <c r="Y11" s="123" t="n"/>
      <c r="Z11" s="70" t="inlineStr">
        <is>
          <t>Total</t>
        </is>
      </c>
      <c r="AA11" s="119" t="n"/>
    </row>
    <row r="12">
      <c r="B12" s="1" t="n"/>
      <c r="C12" s="1" t="n"/>
      <c r="D12" s="204" t="inlineStr">
        <is>
          <t>Amoblado</t>
        </is>
      </c>
      <c r="E12" s="395">
        <f>'Flujo mensual'!C11</f>
        <v/>
      </c>
      <c r="F12" s="395" t="n">
        <v>0</v>
      </c>
      <c r="G12" s="395" t="n">
        <v>0</v>
      </c>
      <c r="H12" s="395" t="n">
        <v>0</v>
      </c>
      <c r="I12" s="395" t="n">
        <v>0</v>
      </c>
      <c r="J12" s="395" t="n">
        <v>0</v>
      </c>
      <c r="K12" s="395" t="n"/>
      <c r="L12" s="395" t="n"/>
      <c r="M12" s="395" t="n"/>
      <c r="N12" s="401">
        <f>SUM(E12:M12)</f>
        <v/>
      </c>
      <c r="O12" s="394" t="n"/>
      <c r="P12" s="204">
        <f>'Flujo 5 años C20'!D10</f>
        <v/>
      </c>
      <c r="Q12" s="395">
        <f>'Flujo 5 años C20'!E10</f>
        <v/>
      </c>
      <c r="R12" s="395">
        <f>'Flujo 5 años C20'!F10</f>
        <v/>
      </c>
      <c r="S12" s="395">
        <f>'Flujo 5 años C20'!G10</f>
        <v/>
      </c>
      <c r="T12" s="395">
        <f>'Flujo 5 años C20'!H10</f>
        <v/>
      </c>
      <c r="U12" s="395">
        <f>'Flujo 5 años C20'!I10</f>
        <v/>
      </c>
      <c r="V12" s="395">
        <f>'Flujo 5 años C20'!J10</f>
        <v/>
      </c>
      <c r="W12" s="395">
        <f>'Flujo 5 años C20'!K10</f>
        <v/>
      </c>
      <c r="X12" s="395">
        <f>'Flujo 5 años C20'!L10</f>
        <v/>
      </c>
      <c r="Y12" s="395">
        <f>'Flujo 5 años C20'!M10</f>
        <v/>
      </c>
      <c r="Z12" s="401">
        <f>SUM(Q12:Y12)</f>
        <v/>
      </c>
      <c r="AA12" s="394" t="n"/>
    </row>
    <row r="13">
      <c r="B13" s="1" t="n"/>
      <c r="C13" s="1" t="n"/>
      <c r="D13" s="196" t="inlineStr">
        <is>
          <t>Contribuciones</t>
        </is>
      </c>
      <c r="E13" s="395" t="n"/>
      <c r="F13" s="395">
        <f>'Flujo mensual'!$P$12</f>
        <v/>
      </c>
      <c r="G13" s="395">
        <f>'Flujo mensual'!$P$12</f>
        <v/>
      </c>
      <c r="H13" s="395">
        <f>'Flujo mensual'!$P$12</f>
        <v/>
      </c>
      <c r="I13" s="395">
        <f>'Flujo mensual'!$P$12</f>
        <v/>
      </c>
      <c r="J13" s="395">
        <f>'Flujo mensual'!$P$12</f>
        <v/>
      </c>
      <c r="K13" s="402" t="n"/>
      <c r="L13" s="402" t="n"/>
      <c r="M13" s="402" t="n"/>
      <c r="N13" s="401">
        <f>SUM(E13:M13)</f>
        <v/>
      </c>
      <c r="O13" s="394" t="n"/>
      <c r="P13" s="196">
        <f>'Flujo 5 años C20'!D11</f>
        <v/>
      </c>
      <c r="Q13" s="395">
        <f>'Flujo 5 años C20'!E11</f>
        <v/>
      </c>
      <c r="R13" s="395">
        <f>'Flujo 5 años C20'!F11</f>
        <v/>
      </c>
      <c r="S13" s="395">
        <f>'Flujo 5 años C20'!G11</f>
        <v/>
      </c>
      <c r="T13" s="395">
        <f>'Flujo 5 años C20'!H11</f>
        <v/>
      </c>
      <c r="U13" s="395">
        <f>'Flujo 5 años C20'!I11</f>
        <v/>
      </c>
      <c r="V13" s="395">
        <f>'Flujo 5 años C20'!J11</f>
        <v/>
      </c>
      <c r="W13" s="402">
        <f>'Flujo 5 años C20'!K11</f>
        <v/>
      </c>
      <c r="X13" s="402">
        <f>'Flujo 5 años C20'!L11</f>
        <v/>
      </c>
      <c r="Y13" s="402">
        <f>'Flujo 5 años C20'!M11</f>
        <v/>
      </c>
      <c r="Z13" s="401">
        <f>SUM(Q13:Y13)</f>
        <v/>
      </c>
      <c r="AA13" s="394" t="n"/>
    </row>
    <row r="14">
      <c r="B14" s="1" t="n"/>
      <c r="C14" s="1" t="n"/>
      <c r="D14" s="204" t="inlineStr">
        <is>
          <t>Cuota de alzaminto</t>
        </is>
      </c>
      <c r="E14" s="395">
        <f>'Crédito Comercial 12A'!D10</f>
        <v/>
      </c>
      <c r="F14" s="395" t="n"/>
      <c r="G14" s="395" t="n"/>
      <c r="H14" s="395" t="n"/>
      <c r="I14" s="395" t="n"/>
      <c r="J14" s="395" t="n"/>
      <c r="K14" s="402" t="n"/>
      <c r="L14" s="402" t="n"/>
      <c r="M14" s="402" t="n"/>
      <c r="N14" s="401">
        <f>SUM(E14:M14)</f>
        <v/>
      </c>
      <c r="O14" s="394" t="n"/>
      <c r="P14" s="204">
        <f>'Flujo 5 años C20'!D12</f>
        <v/>
      </c>
      <c r="Q14" s="395">
        <f>'Flujo 5 años C20'!E12</f>
        <v/>
      </c>
      <c r="R14" s="395">
        <f>'Flujo 5 años C20'!F12</f>
        <v/>
      </c>
      <c r="S14" s="395">
        <f>'Flujo 5 años C20'!G12</f>
        <v/>
      </c>
      <c r="T14" s="395">
        <f>'Flujo 5 años C20'!H12</f>
        <v/>
      </c>
      <c r="U14" s="395">
        <f>'Flujo 5 años C20'!I12</f>
        <v/>
      </c>
      <c r="V14" s="395">
        <f>'Flujo 5 años C20'!J12</f>
        <v/>
      </c>
      <c r="W14" s="402">
        <f>'Flujo 5 años C20'!K12</f>
        <v/>
      </c>
      <c r="X14" s="402">
        <f>'Flujo 5 años C20'!L12</f>
        <v/>
      </c>
      <c r="Y14" s="402">
        <f>'Flujo 5 años C20'!M12</f>
        <v/>
      </c>
      <c r="Z14" s="401">
        <f>SUM(Q14:Y14)</f>
        <v/>
      </c>
      <c r="AA14" s="394" t="n"/>
    </row>
    <row r="15">
      <c r="B15" s="1" t="n"/>
      <c r="C15" s="1" t="n"/>
      <c r="D15" s="222" t="inlineStr">
        <is>
          <t>Dividendo</t>
        </is>
      </c>
      <c r="E15" s="403" t="n"/>
      <c r="F15" s="403">
        <f>'Flujo mensual'!$P$13</f>
        <v/>
      </c>
      <c r="G15" s="403">
        <f>'Flujo mensual'!$P$13</f>
        <v/>
      </c>
      <c r="H15" s="403">
        <f>'Flujo mensual'!$P$13</f>
        <v/>
      </c>
      <c r="I15" s="403">
        <f>'Flujo mensual'!$P$13</f>
        <v/>
      </c>
      <c r="J15" s="403">
        <f>'Flujo mensual'!$P$13</f>
        <v/>
      </c>
      <c r="K15" s="404" t="n"/>
      <c r="L15" s="404" t="n"/>
      <c r="M15" s="404" t="n"/>
      <c r="N15" s="405">
        <f>SUM(E15:M15)</f>
        <v/>
      </c>
      <c r="O15" s="394" t="n"/>
      <c r="P15" s="222">
        <f>'Flujo 5 años C20'!D13</f>
        <v/>
      </c>
      <c r="Q15" s="403">
        <f>'Flujo 5 años C20'!E13</f>
        <v/>
      </c>
      <c r="R15" s="403">
        <f>'Flujo 5 años C20'!F13</f>
        <v/>
      </c>
      <c r="S15" s="403">
        <f>'Flujo 5 años C20'!G13</f>
        <v/>
      </c>
      <c r="T15" s="403">
        <f>'Flujo 5 años C20'!H13</f>
        <v/>
      </c>
      <c r="U15" s="403">
        <f>'Flujo 5 años C20'!I13</f>
        <v/>
      </c>
      <c r="V15" s="403">
        <f>'Flujo 5 años C20'!J13</f>
        <v/>
      </c>
      <c r="W15" s="404">
        <f>'Flujo 5 años C20'!K13</f>
        <v/>
      </c>
      <c r="X15" s="404">
        <f>'Flujo 5 años C20'!L13</f>
        <v/>
      </c>
      <c r="Y15" s="404">
        <f>'Flujo 5 años C20'!M13</f>
        <v/>
      </c>
      <c r="Z15" s="405">
        <f>SUM(Q15:Y15)</f>
        <v/>
      </c>
      <c r="AA15" s="394" t="n"/>
    </row>
    <row r="16">
      <c r="D16" s="196" t="inlineStr">
        <is>
          <t>Gasto operacional</t>
        </is>
      </c>
      <c r="E16" s="395">
        <f>'Flujo mensual'!P14</f>
        <v/>
      </c>
      <c r="F16" s="395" t="n">
        <v>0</v>
      </c>
      <c r="G16" s="395" t="n">
        <v>0</v>
      </c>
      <c r="H16" s="395" t="n">
        <v>0</v>
      </c>
      <c r="I16" s="395" t="n">
        <v>0</v>
      </c>
      <c r="J16" s="395" t="n">
        <v>0</v>
      </c>
      <c r="K16" s="402" t="n"/>
      <c r="L16" s="402" t="n"/>
      <c r="M16" s="402" t="n"/>
      <c r="N16" s="401">
        <f>SUM(E16:M16)</f>
        <v/>
      </c>
      <c r="O16" s="394" t="n"/>
      <c r="P16" s="196">
        <f>'Flujo 5 años C20'!D14</f>
        <v/>
      </c>
      <c r="Q16" s="395">
        <f>'Flujo 5 años C20'!E14</f>
        <v/>
      </c>
      <c r="R16" s="395">
        <f>'Flujo 5 años C20'!F14</f>
        <v/>
      </c>
      <c r="S16" s="395">
        <f>'Flujo 5 años C20'!G14</f>
        <v/>
      </c>
      <c r="T16" s="395">
        <f>'Flujo 5 años C20'!H14</f>
        <v/>
      </c>
      <c r="U16" s="395">
        <f>'Flujo 5 años C20'!I14</f>
        <v/>
      </c>
      <c r="V16" s="395">
        <f>'Flujo 5 años C20'!J14</f>
        <v/>
      </c>
      <c r="W16" s="402">
        <f>'Flujo 5 años C20'!K14</f>
        <v/>
      </c>
      <c r="X16" s="402">
        <f>'Flujo 5 años C20'!L14</f>
        <v/>
      </c>
      <c r="Y16" s="402">
        <f>'Flujo 5 años C20'!M14</f>
        <v/>
      </c>
      <c r="Z16" s="401">
        <f>SUM(Q16:Y16)</f>
        <v/>
      </c>
      <c r="AA16" s="394" t="n"/>
    </row>
    <row r="17">
      <c r="D17" s="196" t="inlineStr">
        <is>
          <t>Comisión corredor</t>
        </is>
      </c>
      <c r="E17" s="395" t="n"/>
      <c r="F17" s="395">
        <f>'Flujo mensual'!P15</f>
        <v/>
      </c>
      <c r="G17" s="395" t="n">
        <v>0</v>
      </c>
      <c r="H17" s="395" t="n">
        <v>0</v>
      </c>
      <c r="I17" s="395" t="n">
        <v>0</v>
      </c>
      <c r="J17" s="395" t="n">
        <v>0</v>
      </c>
      <c r="K17" s="402" t="n"/>
      <c r="L17" s="402" t="n"/>
      <c r="M17" s="402" t="n"/>
      <c r="N17" s="401">
        <f>SUM(E17:M17)</f>
        <v/>
      </c>
      <c r="O17" s="394" t="n"/>
      <c r="P17" s="196">
        <f>'Flujo 5 años C20'!D15</f>
        <v/>
      </c>
      <c r="Q17" s="395">
        <f>'Flujo 5 años C20'!E15</f>
        <v/>
      </c>
      <c r="R17" s="395">
        <f>'Flujo 5 años C20'!F15</f>
        <v/>
      </c>
      <c r="S17" s="395">
        <f>'Flujo 5 años C20'!G15</f>
        <v/>
      </c>
      <c r="T17" s="395">
        <f>'Flujo 5 años C20'!H15</f>
        <v/>
      </c>
      <c r="U17" s="395">
        <f>'Flujo 5 años C20'!I15</f>
        <v/>
      </c>
      <c r="V17" s="395">
        <f>'Flujo 5 años C20'!J15</f>
        <v/>
      </c>
      <c r="W17" s="402">
        <f>'Flujo 5 años C20'!K15</f>
        <v/>
      </c>
      <c r="X17" s="402">
        <f>'Flujo 5 años C20'!L15</f>
        <v/>
      </c>
      <c r="Y17" s="402">
        <f>'Flujo 5 años C20'!M15</f>
        <v/>
      </c>
      <c r="Z17" s="401">
        <f>SUM(Q17:Y17)</f>
        <v/>
      </c>
      <c r="AA17" s="394" t="n"/>
    </row>
    <row r="18">
      <c r="D18" s="196" t="inlineStr">
        <is>
          <t>Gasto común</t>
        </is>
      </c>
      <c r="E18" s="395" t="n"/>
      <c r="F18" s="395">
        <f>'Flujo mensual'!P16</f>
        <v/>
      </c>
      <c r="G18" s="395" t="n">
        <v>0</v>
      </c>
      <c r="H18" s="395" t="n">
        <v>0</v>
      </c>
      <c r="I18" s="395" t="n">
        <v>0</v>
      </c>
      <c r="J18" s="395" t="n">
        <v>0</v>
      </c>
      <c r="K18" s="402" t="n"/>
      <c r="L18" s="402" t="n"/>
      <c r="M18" s="402" t="n"/>
      <c r="N18" s="401">
        <f>SUM(E18:M18)</f>
        <v/>
      </c>
      <c r="O18" s="394" t="n"/>
      <c r="P18" s="196">
        <f>'Flujo 5 años C20'!D16</f>
        <v/>
      </c>
      <c r="Q18" s="395">
        <f>'Flujo 5 años C20'!E16</f>
        <v/>
      </c>
      <c r="R18" s="395">
        <f>'Flujo 5 años C20'!F16</f>
        <v/>
      </c>
      <c r="S18" s="395">
        <f>'Flujo 5 años C20'!G16</f>
        <v/>
      </c>
      <c r="T18" s="395">
        <f>'Flujo 5 años C20'!H16</f>
        <v/>
      </c>
      <c r="U18" s="395">
        <f>'Flujo 5 años C20'!I16</f>
        <v/>
      </c>
      <c r="V18" s="395">
        <f>'Flujo 5 años C20'!J16</f>
        <v/>
      </c>
      <c r="W18" s="402">
        <f>'Flujo 5 años C20'!K16</f>
        <v/>
      </c>
      <c r="X18" s="402">
        <f>'Flujo 5 años C20'!L16</f>
        <v/>
      </c>
      <c r="Y18" s="402">
        <f>'Flujo 5 años C20'!M16</f>
        <v/>
      </c>
      <c r="Z18" s="401">
        <f>SUM(Q18:Y18)</f>
        <v/>
      </c>
      <c r="AA18" s="394" t="n"/>
    </row>
    <row r="19">
      <c r="D19" s="196" t="inlineStr">
        <is>
          <t>Administración</t>
        </is>
      </c>
      <c r="E19" s="395" t="n"/>
      <c r="F19" s="395">
        <f>'Flujo mensual'!P17</f>
        <v/>
      </c>
      <c r="G19" s="395">
        <f>'Flujo mensual'!$O$17*12*0.9</f>
        <v/>
      </c>
      <c r="H19" s="395">
        <f>'Flujo mensual'!$O$17*12*0.9</f>
        <v/>
      </c>
      <c r="I19" s="395">
        <f>'Flujo mensual'!$O$17*12*0.9</f>
        <v/>
      </c>
      <c r="J19" s="395">
        <f>'Flujo mensual'!$O$17*12*0.9</f>
        <v/>
      </c>
      <c r="K19" s="402" t="n"/>
      <c r="L19" s="402" t="n"/>
      <c r="M19" s="402" t="n"/>
      <c r="N19" s="401">
        <f>SUM(E19:M19)</f>
        <v/>
      </c>
      <c r="O19" s="394" t="n"/>
      <c r="P19" s="196">
        <f>'Flujo 5 años C20'!D17</f>
        <v/>
      </c>
      <c r="Q19" s="395">
        <f>'Flujo 5 años C20'!E17</f>
        <v/>
      </c>
      <c r="R19" s="395">
        <f>'Flujo 5 años C20'!F17</f>
        <v/>
      </c>
      <c r="S19" s="395">
        <f>'Flujo 5 años C20'!G17</f>
        <v/>
      </c>
      <c r="T19" s="395">
        <f>'Flujo 5 años C20'!H17</f>
        <v/>
      </c>
      <c r="U19" s="395">
        <f>'Flujo 5 años C20'!I17</f>
        <v/>
      </c>
      <c r="V19" s="395">
        <f>'Flujo 5 años C20'!J17</f>
        <v/>
      </c>
      <c r="W19" s="402">
        <f>'Flujo 5 años C20'!K17</f>
        <v/>
      </c>
      <c r="X19" s="402">
        <f>'Flujo 5 años C20'!L17</f>
        <v/>
      </c>
      <c r="Y19" s="402">
        <f>'Flujo 5 años C20'!M17</f>
        <v/>
      </c>
      <c r="Z19" s="401">
        <f>SUM(Q19:Y19)</f>
        <v/>
      </c>
      <c r="AA19" s="394" t="n"/>
    </row>
    <row r="20">
      <c r="D20" s="196" t="inlineStr">
        <is>
          <t>Imprevistos</t>
        </is>
      </c>
      <c r="E20" s="395" t="n"/>
      <c r="F20" s="395">
        <f>'Flujo mensual'!$P$19</f>
        <v/>
      </c>
      <c r="G20" s="395">
        <f>'Flujo mensual'!$P$19</f>
        <v/>
      </c>
      <c r="H20" s="395">
        <f>'Flujo mensual'!$P$19</f>
        <v/>
      </c>
      <c r="I20" s="395">
        <f>'Flujo mensual'!$P$19</f>
        <v/>
      </c>
      <c r="J20" s="395">
        <f>'Flujo mensual'!$P$19</f>
        <v/>
      </c>
      <c r="K20" s="402" t="n"/>
      <c r="L20" s="402" t="n"/>
      <c r="M20" s="402" t="n"/>
      <c r="N20" s="401">
        <f>SUM(E20:M20)</f>
        <v/>
      </c>
      <c r="O20" s="394" t="n"/>
      <c r="P20" s="196">
        <f>'Flujo 5 años C20'!D18</f>
        <v/>
      </c>
      <c r="Q20" s="395">
        <f>'Flujo 5 años C20'!E18</f>
        <v/>
      </c>
      <c r="R20" s="395">
        <f>'Flujo 5 años C20'!F18</f>
        <v/>
      </c>
      <c r="S20" s="395">
        <f>'Flujo 5 años C20'!G18</f>
        <v/>
      </c>
      <c r="T20" s="395">
        <f>'Flujo 5 años C20'!H18</f>
        <v/>
      </c>
      <c r="U20" s="395">
        <f>'Flujo 5 años C20'!I18</f>
        <v/>
      </c>
      <c r="V20" s="395">
        <f>'Flujo 5 años C20'!J18</f>
        <v/>
      </c>
      <c r="W20" s="402">
        <f>'Flujo 5 años C20'!K18</f>
        <v/>
      </c>
      <c r="X20" s="402">
        <f>'Flujo 5 años C20'!L18</f>
        <v/>
      </c>
      <c r="Y20" s="402">
        <f>'Flujo 5 años C20'!M18</f>
        <v/>
      </c>
      <c r="Z20" s="401">
        <f>SUM(Q20:Y20)</f>
        <v/>
      </c>
      <c r="AA20" s="394" t="n"/>
    </row>
    <row r="21">
      <c r="D21" s="196" t="inlineStr">
        <is>
          <t>Costo Financiero Cred. 1</t>
        </is>
      </c>
      <c r="E21" s="395" t="n"/>
      <c r="F21" s="395">
        <f>'Crédito C12'!O9</f>
        <v/>
      </c>
      <c r="G21" s="395">
        <f>'Crédito C12'!AA9</f>
        <v/>
      </c>
      <c r="H21" s="395">
        <f>'Crédito C12'!AM9</f>
        <v/>
      </c>
      <c r="I21" s="395">
        <f>'Crédito C12'!AY9</f>
        <v/>
      </c>
      <c r="J21" s="395">
        <f>'Crédito C12'!BK9</f>
        <v/>
      </c>
      <c r="K21" s="402" t="n"/>
      <c r="L21" s="402" t="n"/>
      <c r="M21" s="402" t="n"/>
      <c r="N21" s="401">
        <f>SUM(E21:M21)</f>
        <v/>
      </c>
      <c r="O21" s="394" t="n"/>
      <c r="P21" s="196">
        <f>'Flujo 5 años C20'!D19</f>
        <v/>
      </c>
      <c r="Q21" s="395">
        <f>'Flujo 5 años C20'!E19</f>
        <v/>
      </c>
      <c r="R21" s="395">
        <f>'Flujo 5 años C20'!F19</f>
        <v/>
      </c>
      <c r="S21" s="395">
        <f>'Flujo 5 años C20'!G19</f>
        <v/>
      </c>
      <c r="T21" s="395">
        <f>'Flujo 5 años C20'!H19</f>
        <v/>
      </c>
      <c r="U21" s="395">
        <f>'Flujo 5 años C20'!I19</f>
        <v/>
      </c>
      <c r="V21" s="395">
        <f>'Flujo 5 años C20'!J19</f>
        <v/>
      </c>
      <c r="W21" s="402">
        <f>'Flujo 5 años C20'!K19</f>
        <v/>
      </c>
      <c r="X21" s="402">
        <f>'Flujo 5 años C20'!L19</f>
        <v/>
      </c>
      <c r="Y21" s="402">
        <f>'Flujo 5 años C20'!M19</f>
        <v/>
      </c>
      <c r="Z21" s="401">
        <f>SUM(Q21:Y21)</f>
        <v/>
      </c>
      <c r="AA21" s="394" t="n"/>
    </row>
    <row r="22">
      <c r="D22" s="196" t="inlineStr">
        <is>
          <t>IVA</t>
        </is>
      </c>
      <c r="E22" s="395" t="n"/>
      <c r="F22" s="395">
        <f>'Flujo mensual'!P20</f>
        <v/>
      </c>
      <c r="G22" s="395">
        <f>'Flujo mensual'!$O$20*12</f>
        <v/>
      </c>
      <c r="H22" s="395">
        <f>'Flujo mensual'!$O$20*12</f>
        <v/>
      </c>
      <c r="I22" s="395">
        <f>'Flujo mensual'!$O$20*12</f>
        <v/>
      </c>
      <c r="J22" s="395">
        <f>'Flujo mensual'!$O$20*12</f>
        <v/>
      </c>
      <c r="K22" s="402" t="n"/>
      <c r="L22" s="402" t="n"/>
      <c r="M22" s="402" t="n"/>
      <c r="N22" s="401">
        <f>SUM(E22:M22)</f>
        <v/>
      </c>
      <c r="O22" s="394" t="n"/>
      <c r="P22" s="196">
        <f>'Flujo 5 años C20'!D20</f>
        <v/>
      </c>
      <c r="Q22" s="395">
        <f>'Flujo 5 años C20'!E20</f>
        <v/>
      </c>
      <c r="R22" s="395">
        <f>'Flujo 5 años C20'!F20</f>
        <v/>
      </c>
      <c r="S22" s="395">
        <f>'Flujo 5 años C20'!G20</f>
        <v/>
      </c>
      <c r="T22" s="395">
        <f>'Flujo 5 años C20'!H20</f>
        <v/>
      </c>
      <c r="U22" s="395">
        <f>'Flujo 5 años C20'!I20</f>
        <v/>
      </c>
      <c r="V22" s="395">
        <f>'Flujo 5 años C20'!J20</f>
        <v/>
      </c>
      <c r="W22" s="402">
        <f>'Flujo 5 años C20'!K20</f>
        <v/>
      </c>
      <c r="X22" s="402">
        <f>'Flujo 5 años C20'!L20</f>
        <v/>
      </c>
      <c r="Y22" s="402">
        <f>'Flujo 5 años C20'!M20</f>
        <v/>
      </c>
      <c r="Z22" s="401">
        <f>SUM(Q22:Y22)</f>
        <v/>
      </c>
      <c r="AA22" s="394" t="n"/>
    </row>
    <row r="23">
      <c r="D23" s="207" t="inlineStr">
        <is>
          <t xml:space="preserve">Impuesto </t>
        </is>
      </c>
      <c r="E23" s="406" t="n"/>
      <c r="F23" s="406" t="n"/>
      <c r="G23" s="406" t="n"/>
      <c r="H23" s="406" t="n"/>
      <c r="I23" s="406" t="n"/>
      <c r="J23" s="406" t="n"/>
      <c r="K23" s="407" t="n">
        <v>0</v>
      </c>
      <c r="L23" s="407" t="n"/>
      <c r="M23" s="407" t="n"/>
      <c r="N23" s="408" t="n"/>
      <c r="O23" s="394" t="n"/>
      <c r="P23" s="207" t="inlineStr">
        <is>
          <t>Impuesto</t>
        </is>
      </c>
      <c r="Q23" s="406" t="n"/>
      <c r="R23" s="406" t="n"/>
      <c r="S23" s="406" t="n"/>
      <c r="T23" s="406" t="n"/>
      <c r="U23" s="406" t="n"/>
      <c r="V23" s="406" t="n"/>
      <c r="W23" s="407" t="n">
        <v>0</v>
      </c>
      <c r="X23" s="407" t="n"/>
      <c r="Y23" s="407" t="n"/>
      <c r="Z23" s="408">
        <f>SUM(Q23:Y23)</f>
        <v/>
      </c>
      <c r="AA23" s="394" t="n"/>
    </row>
    <row r="24">
      <c r="D24" s="80" t="inlineStr">
        <is>
          <t>Total Egresos</t>
        </is>
      </c>
      <c r="E24" s="367">
        <f>SUM(E12:E23)</f>
        <v/>
      </c>
      <c r="F24" s="367">
        <f>SUM(F12:F23)</f>
        <v/>
      </c>
      <c r="G24" s="367">
        <f>SUM(G12:G23)</f>
        <v/>
      </c>
      <c r="H24" s="367">
        <f>SUM(H12:H23)</f>
        <v/>
      </c>
      <c r="I24" s="367">
        <f>SUM(I12:I23)</f>
        <v/>
      </c>
      <c r="J24" s="367">
        <f>SUM(J12:J23)</f>
        <v/>
      </c>
      <c r="K24" s="367">
        <f>SUM(K12:K23)</f>
        <v/>
      </c>
      <c r="L24" s="367">
        <f>SUM(L12:L22)</f>
        <v/>
      </c>
      <c r="M24" s="367">
        <f>SUM(M12:M22)</f>
        <v/>
      </c>
      <c r="N24" s="368">
        <f>SUM(N12:N22)</f>
        <v/>
      </c>
      <c r="O24" s="314" t="n"/>
      <c r="P24" s="80" t="inlineStr">
        <is>
          <t>Total Egresos</t>
        </is>
      </c>
      <c r="Q24" s="367">
        <f>SUM(Q12:Q23)</f>
        <v/>
      </c>
      <c r="R24" s="367">
        <f>SUM(R12:R23)</f>
        <v/>
      </c>
      <c r="S24" s="367">
        <f>SUM(S12:S23)</f>
        <v/>
      </c>
      <c r="T24" s="367">
        <f>SUM(T12:T23)</f>
        <v/>
      </c>
      <c r="U24" s="367">
        <f>SUM(U12:U23)</f>
        <v/>
      </c>
      <c r="V24" s="367">
        <f>SUM(V12:V23)</f>
        <v/>
      </c>
      <c r="W24" s="367">
        <f>SUM(W12:W23)</f>
        <v/>
      </c>
      <c r="X24" s="367">
        <f>SUM(X12:X23)</f>
        <v/>
      </c>
      <c r="Y24" s="367">
        <f>SUM(Y12:Y23)</f>
        <v/>
      </c>
      <c r="Z24" s="368">
        <f>SUM(Z12:Z23)</f>
        <v/>
      </c>
      <c r="AA24" s="314" t="n"/>
    </row>
    <row r="25" ht="6" customHeight="1">
      <c r="D25" s="369" t="n"/>
      <c r="E25" s="369" t="n"/>
      <c r="F25" s="369" t="n"/>
      <c r="G25" s="369" t="n"/>
      <c r="H25" s="369" t="n"/>
      <c r="I25" s="369" t="n"/>
      <c r="J25" s="369" t="n"/>
      <c r="K25" s="369" t="n"/>
      <c r="L25" s="369" t="n"/>
      <c r="M25" s="369" t="n"/>
      <c r="N25" s="369" t="n"/>
      <c r="O25" s="370" t="n"/>
      <c r="P25" s="369" t="n"/>
      <c r="Q25" s="369" t="n"/>
      <c r="R25" s="369" t="n"/>
      <c r="S25" s="369" t="n"/>
      <c r="T25" s="369" t="n"/>
      <c r="U25" s="369" t="n"/>
      <c r="V25" s="369" t="n"/>
      <c r="W25" s="369" t="n"/>
      <c r="X25" s="369" t="n"/>
      <c r="Y25" s="369" t="n"/>
      <c r="Z25" s="369" t="n"/>
      <c r="AA25" s="370" t="n"/>
    </row>
    <row r="26" ht="16.2" customHeight="1" thickBot="1">
      <c r="D26" s="189" t="inlineStr">
        <is>
          <t>Flujo Proyecto</t>
        </is>
      </c>
      <c r="E26" s="409">
        <f>E9-E24</f>
        <v/>
      </c>
      <c r="F26" s="409">
        <f>F9-F24</f>
        <v/>
      </c>
      <c r="G26" s="409">
        <f>G9-G24</f>
        <v/>
      </c>
      <c r="H26" s="409">
        <f>H9-H24</f>
        <v/>
      </c>
      <c r="I26" s="409">
        <f>I9-I24</f>
        <v/>
      </c>
      <c r="J26" s="409">
        <f>J9-J24</f>
        <v/>
      </c>
      <c r="K26" s="409" t="n"/>
      <c r="L26" s="409">
        <f>L9-L24</f>
        <v/>
      </c>
      <c r="M26" s="409">
        <f>M9-M24</f>
        <v/>
      </c>
      <c r="N26" s="410">
        <f>N9-N24</f>
        <v/>
      </c>
      <c r="P26" s="189" t="inlineStr">
        <is>
          <t>Flujo Proyecto</t>
        </is>
      </c>
      <c r="Q26" s="409">
        <f>Q9-Q24</f>
        <v/>
      </c>
      <c r="R26" s="409">
        <f>R9-R24</f>
        <v/>
      </c>
      <c r="S26" s="409">
        <f>S9-S24</f>
        <v/>
      </c>
      <c r="T26" s="409">
        <f>T9-T24</f>
        <v/>
      </c>
      <c r="U26" s="409">
        <f>U9-U24</f>
        <v/>
      </c>
      <c r="V26" s="409">
        <f>V9-V24</f>
        <v/>
      </c>
      <c r="W26" s="409" t="n"/>
      <c r="X26" s="409">
        <f>X9-X24</f>
        <v/>
      </c>
      <c r="Y26" s="409">
        <f>Y9-Y24</f>
        <v/>
      </c>
      <c r="Z26" s="410">
        <f>SUM(Q26:Y26)</f>
        <v/>
      </c>
    </row>
    <row r="27" hidden="1">
      <c r="D27" s="80" t="inlineStr">
        <is>
          <t>Flujo acumulado</t>
        </is>
      </c>
      <c r="E27" s="367">
        <f>E26</f>
        <v/>
      </c>
      <c r="F27" s="367">
        <f>E27+F26</f>
        <v/>
      </c>
      <c r="G27" s="367">
        <f>F27+G26</f>
        <v/>
      </c>
      <c r="H27" s="367">
        <f>G27+H26</f>
        <v/>
      </c>
      <c r="I27" s="367">
        <f>H27+I26</f>
        <v/>
      </c>
      <c r="J27" s="367">
        <f>I27+J26</f>
        <v/>
      </c>
      <c r="K27" s="367" t="n"/>
      <c r="L27" s="367" t="n"/>
      <c r="M27" s="367" t="n"/>
      <c r="O27" s="361" t="n"/>
      <c r="P27" s="36" t="inlineStr">
        <is>
          <t>Flujo acumulado</t>
        </is>
      </c>
      <c r="Q27" s="373" t="n">
        <v>-755.6675062972292</v>
      </c>
      <c r="R27" s="373" t="n">
        <v>3013.070673568238</v>
      </c>
      <c r="S27" s="373" t="n">
        <v>1099.428959854999</v>
      </c>
      <c r="T27" s="373" t="n">
        <v>-859.212753858239</v>
      </c>
      <c r="U27" s="373" t="n">
        <v>-2877.854467571477</v>
      </c>
      <c r="V27" s="373" t="n">
        <v>47741.80381871529</v>
      </c>
      <c r="W27" s="373" t="n"/>
      <c r="X27" s="373" t="n"/>
      <c r="Y27" s="373" t="n"/>
      <c r="AA27" s="361" t="n"/>
    </row>
    <row r="28" ht="6" customHeight="1">
      <c r="D28" s="369" t="n"/>
      <c r="E28" s="369" t="n"/>
      <c r="F28" s="369" t="n"/>
      <c r="G28" s="369" t="n"/>
      <c r="H28" s="369" t="n"/>
      <c r="I28" s="369" t="n"/>
      <c r="J28" s="369" t="n"/>
      <c r="K28" s="369" t="n"/>
      <c r="L28" s="369" t="n"/>
      <c r="M28" s="369" t="n"/>
      <c r="N28" s="369" t="n"/>
      <c r="O28" s="370" t="n"/>
      <c r="P28" s="369" t="n"/>
      <c r="Q28" s="369" t="n"/>
      <c r="R28" s="369" t="n"/>
      <c r="S28" s="369" t="n"/>
      <c r="T28" s="369" t="n"/>
      <c r="U28" s="369" t="n"/>
      <c r="V28" s="369" t="n"/>
      <c r="W28" s="369" t="n"/>
      <c r="X28" s="369" t="n"/>
      <c r="Y28" s="369" t="n"/>
      <c r="Z28" s="369" t="n"/>
      <c r="AA28" s="370" t="n"/>
    </row>
    <row r="29">
      <c r="C29" s="290" t="n"/>
      <c r="D29" s="372" t="inlineStr">
        <is>
          <t>Saldo IVA</t>
        </is>
      </c>
      <c r="E29" s="374">
        <f>E6+E7-E22</f>
        <v/>
      </c>
      <c r="F29" s="374">
        <f>F6+F7-F22</f>
        <v/>
      </c>
      <c r="G29" s="374">
        <f>F29-G22</f>
        <v/>
      </c>
      <c r="H29" s="374">
        <f>G29-H22</f>
        <v/>
      </c>
      <c r="I29" s="374">
        <f>H29-I22</f>
        <v/>
      </c>
      <c r="K29" s="375" t="n"/>
      <c r="L29" s="374" t="n"/>
      <c r="M29" s="374" t="n"/>
      <c r="N29" s="411">
        <f>I29-J22</f>
        <v/>
      </c>
      <c r="P29" s="372" t="inlineStr">
        <is>
          <t>Saldo IVA</t>
        </is>
      </c>
      <c r="Q29" s="374">
        <f>Q6+Q7-Q22</f>
        <v/>
      </c>
      <c r="R29" s="374">
        <f>R6+R7-R22</f>
        <v/>
      </c>
      <c r="S29" s="374">
        <f>R29-S22</f>
        <v/>
      </c>
      <c r="T29" s="374">
        <f>S29-T22</f>
        <v/>
      </c>
      <c r="U29" s="374">
        <f>T29-U22</f>
        <v/>
      </c>
      <c r="W29" s="375" t="n"/>
      <c r="X29" s="374" t="n"/>
      <c r="Y29" s="374" t="n"/>
      <c r="Z29" s="411">
        <f>U29-V22</f>
        <v/>
      </c>
    </row>
    <row r="30">
      <c r="D30" s="372" t="inlineStr">
        <is>
          <t>Prepago Crédito</t>
        </is>
      </c>
      <c r="E30" s="374" t="n"/>
      <c r="F30" s="374" t="n"/>
      <c r="G30" s="374" t="n"/>
      <c r="H30" s="374" t="n"/>
      <c r="I30" s="374" t="n"/>
      <c r="K30" s="377" t="n"/>
      <c r="L30" s="378" t="n"/>
      <c r="M30" s="378" t="n"/>
      <c r="N30" s="412">
        <f>'Crédito Comercial 12A'!K67</f>
        <v/>
      </c>
      <c r="O30" s="370" t="n"/>
      <c r="P30" s="372" t="inlineStr">
        <is>
          <t>Prepago Crédito</t>
        </is>
      </c>
      <c r="Q30" s="374" t="n"/>
      <c r="R30" s="374" t="n"/>
      <c r="S30" s="374" t="n"/>
      <c r="T30" s="374" t="n"/>
      <c r="U30" s="374" t="n"/>
      <c r="W30" s="377" t="n"/>
      <c r="X30" s="378" t="n"/>
      <c r="Y30" s="378" t="n"/>
      <c r="Z30" s="412">
        <f>'Crédito Comercial 20A'!K67</f>
        <v/>
      </c>
      <c r="AA30" s="370" t="n"/>
    </row>
    <row r="31" ht="6" customHeight="1">
      <c r="D31" s="369" t="n"/>
      <c r="E31" s="369" t="n"/>
      <c r="F31" s="369" t="n"/>
      <c r="G31" s="369" t="n"/>
      <c r="H31" s="369" t="n"/>
      <c r="I31" s="369" t="n"/>
      <c r="J31" s="369" t="n"/>
      <c r="K31" s="369" t="n"/>
      <c r="L31" s="369" t="n"/>
      <c r="M31" s="369" t="n"/>
      <c r="N31" s="369" t="n"/>
      <c r="O31" s="370" t="n"/>
      <c r="P31" s="369" t="n"/>
      <c r="Q31" s="369" t="n"/>
      <c r="R31" s="369" t="n"/>
      <c r="S31" s="369" t="n"/>
      <c r="T31" s="369" t="n"/>
      <c r="U31" s="369" t="n"/>
      <c r="V31" s="369" t="n"/>
      <c r="W31" s="369" t="n"/>
      <c r="X31" s="369" t="n"/>
      <c r="Y31" s="369" t="n"/>
      <c r="Z31" s="369" t="n"/>
      <c r="AA31" s="370" t="n"/>
    </row>
    <row r="32">
      <c r="D32" s="192" t="inlineStr">
        <is>
          <t>Finaciamiento</t>
        </is>
      </c>
      <c r="E32" s="413" t="n">
        <v>1000</v>
      </c>
      <c r="F32" s="413" t="n"/>
      <c r="G32" s="413" t="n">
        <v>3000</v>
      </c>
      <c r="H32" s="413" t="n">
        <v>4500</v>
      </c>
      <c r="I32" s="413" t="n">
        <v>4500</v>
      </c>
      <c r="J32" s="413" t="n"/>
      <c r="K32" s="414" t="n"/>
      <c r="L32" s="414" t="n"/>
      <c r="M32" s="414" t="n"/>
      <c r="N32" s="415">
        <f>SUM(E32:J32)</f>
        <v/>
      </c>
      <c r="O32" s="416" t="n"/>
      <c r="P32" s="192" t="inlineStr">
        <is>
          <t>Finaciamiento</t>
        </is>
      </c>
      <c r="Q32" s="413">
        <f>'Flujo 5 años C20'!E30</f>
        <v/>
      </c>
      <c r="R32" s="413">
        <f>'Flujo 5 años C20'!F30</f>
        <v/>
      </c>
      <c r="S32" s="413">
        <f>'Flujo 5 años C20'!G30</f>
        <v/>
      </c>
      <c r="T32" s="413">
        <f>'Flujo 5 años C20'!H30</f>
        <v/>
      </c>
      <c r="U32" s="413">
        <f>'Flujo 5 años C20'!I30</f>
        <v/>
      </c>
      <c r="V32" s="413">
        <f>'Flujo 5 años C20'!J30</f>
        <v/>
      </c>
      <c r="W32" s="413">
        <f>'Flujo 5 años C20'!K30</f>
        <v/>
      </c>
      <c r="X32" s="413">
        <f>'Flujo 5 años C20'!L30</f>
        <v/>
      </c>
      <c r="Y32" s="413">
        <f>'Flujo 5 años C20'!M30</f>
        <v/>
      </c>
      <c r="Z32" s="415">
        <f>SUM(Q32:Y32)</f>
        <v/>
      </c>
      <c r="AA32" s="416" t="n"/>
    </row>
    <row r="33">
      <c r="D33" s="200" t="inlineStr">
        <is>
          <t>Dev. Financiamiento</t>
        </is>
      </c>
      <c r="E33" s="398" t="n"/>
      <c r="F33" s="398" t="n"/>
      <c r="G33" s="398" t="n"/>
      <c r="H33" s="398" t="n"/>
      <c r="I33" s="213" t="n"/>
      <c r="J33" s="213" t="n"/>
      <c r="K33" s="213" t="n"/>
      <c r="L33" s="417">
        <f>-N32</f>
        <v/>
      </c>
      <c r="M33" s="213" t="n"/>
      <c r="N33" s="418">
        <f>-N32</f>
        <v/>
      </c>
      <c r="O33" s="394" t="n"/>
      <c r="P33" s="200" t="inlineStr">
        <is>
          <t>Dev. Financiamiento</t>
        </is>
      </c>
      <c r="Q33" s="413">
        <f>'Flujo 5 años C20'!E31</f>
        <v/>
      </c>
      <c r="R33" s="413">
        <f>'Flujo 5 años C20'!F31</f>
        <v/>
      </c>
      <c r="S33" s="413">
        <f>'Flujo 5 años C20'!G31</f>
        <v/>
      </c>
      <c r="T33" s="413">
        <f>'Flujo 5 años C20'!H31</f>
        <v/>
      </c>
      <c r="U33" s="413">
        <f>'Flujo 5 años C20'!I31</f>
        <v/>
      </c>
      <c r="V33" s="413">
        <f>'Flujo 5 años C20'!J31</f>
        <v/>
      </c>
      <c r="W33" s="413">
        <f>'Flujo 5 años C20'!K31</f>
        <v/>
      </c>
      <c r="X33" s="413">
        <f>'Flujo 5 años C20'!L31</f>
        <v/>
      </c>
      <c r="Y33" s="413">
        <f>'Flujo 5 años C20'!M31</f>
        <v/>
      </c>
      <c r="Z33" s="418">
        <f>SUM(Q33:Y33)</f>
        <v/>
      </c>
      <c r="AA33" s="394" t="n"/>
    </row>
    <row r="34" hidden="1">
      <c r="D34" s="185" t="inlineStr">
        <is>
          <t>Dividendo</t>
        </is>
      </c>
      <c r="E34" s="419" t="n"/>
      <c r="F34" s="419" t="n"/>
      <c r="G34" s="419" t="n"/>
      <c r="H34" s="419" t="n"/>
      <c r="I34" s="419" t="n"/>
      <c r="J34" s="420" t="n"/>
      <c r="K34" s="420" t="n"/>
      <c r="L34" s="420" t="n"/>
      <c r="M34" s="420">
        <f>-L38</f>
        <v/>
      </c>
      <c r="N34" s="421" t="n"/>
      <c r="O34" s="314" t="n"/>
      <c r="P34" s="185" t="inlineStr">
        <is>
          <t>Dividendo</t>
        </is>
      </c>
      <c r="Q34" s="419" t="n"/>
      <c r="R34" s="419" t="n"/>
      <c r="S34" s="419" t="n"/>
      <c r="T34" s="419" t="n"/>
      <c r="U34" s="419" t="n"/>
      <c r="V34" s="420" t="n"/>
      <c r="W34" s="420" t="n"/>
      <c r="X34" s="420" t="n"/>
      <c r="Y34" s="420" t="n">
        <v>-5386.430942716888</v>
      </c>
      <c r="Z34" s="421" t="n"/>
      <c r="AA34" s="314" t="n"/>
    </row>
    <row r="35" hidden="1">
      <c r="B35" s="131" t="n"/>
      <c r="D35" s="1" t="inlineStr">
        <is>
          <t>Flujo Financiamiento</t>
        </is>
      </c>
      <c r="E35" s="386">
        <f>SUM(E32:E34)</f>
        <v/>
      </c>
      <c r="F35" s="386">
        <f>SUM(F32:F34)</f>
        <v/>
      </c>
      <c r="G35" s="386">
        <f>SUM(G32:G34)</f>
        <v/>
      </c>
      <c r="H35" s="386">
        <f>SUM(H32:H34)</f>
        <v/>
      </c>
      <c r="I35" s="386">
        <f>SUM(I32:I34)</f>
        <v/>
      </c>
      <c r="J35" s="386">
        <f>SUM(J32:J34)</f>
        <v/>
      </c>
      <c r="K35" s="386" t="n"/>
      <c r="L35" s="386">
        <f>SUM(L32:L34)</f>
        <v/>
      </c>
      <c r="M35" s="386">
        <f>SUM(M32:M34)</f>
        <v/>
      </c>
      <c r="N35" s="386">
        <f>SUM(N32:N34)</f>
        <v/>
      </c>
      <c r="O35" s="314" t="n"/>
      <c r="P35" s="1" t="inlineStr">
        <is>
          <t>Flujo Financiamiento</t>
        </is>
      </c>
      <c r="Q35" s="386" t="n">
        <v>1000</v>
      </c>
      <c r="R35" s="386" t="n">
        <v>0</v>
      </c>
      <c r="S35" s="386" t="n">
        <v>0</v>
      </c>
      <c r="T35" s="386" t="n">
        <v>1000</v>
      </c>
      <c r="U35" s="386" t="n">
        <v>1000</v>
      </c>
      <c r="V35" s="386" t="n">
        <v>0</v>
      </c>
      <c r="W35" s="386" t="n"/>
      <c r="X35" s="386" t="n">
        <v>-3000</v>
      </c>
      <c r="Y35" s="386" t="n">
        <v>-5386.430942716888</v>
      </c>
      <c r="Z35" s="386" t="n">
        <v>3000</v>
      </c>
      <c r="AA35" s="314" t="n"/>
    </row>
    <row r="36" hidden="1">
      <c r="B36" s="154" t="n"/>
      <c r="E36" s="386" t="n"/>
      <c r="F36" s="386" t="n"/>
      <c r="G36" s="386" t="n"/>
      <c r="H36" s="386" t="n"/>
      <c r="I36" s="386" t="n"/>
      <c r="J36" s="386" t="n"/>
      <c r="K36" s="386" t="n"/>
      <c r="L36" s="386" t="n"/>
      <c r="M36" s="386" t="n"/>
      <c r="N36" s="314" t="n"/>
      <c r="O36" s="386" t="n"/>
      <c r="Q36" s="386" t="n"/>
      <c r="R36" s="386" t="n"/>
      <c r="S36" s="386" t="n"/>
      <c r="T36" s="386" t="n"/>
      <c r="U36" s="386" t="n"/>
      <c r="V36" s="386" t="n"/>
      <c r="W36" s="386" t="n"/>
      <c r="X36" s="386" t="n"/>
      <c r="Y36" s="386" t="n"/>
      <c r="Z36" s="314" t="n"/>
      <c r="AA36" s="386" t="n"/>
    </row>
    <row r="37" hidden="1">
      <c r="B37" s="155" t="n"/>
      <c r="C37" s="290" t="n"/>
      <c r="D37" s="36" t="inlineStr">
        <is>
          <t>Flujo caja anual</t>
        </is>
      </c>
      <c r="E37" s="371">
        <f>+E27+E35</f>
        <v/>
      </c>
      <c r="F37" s="371">
        <f>+F26+F35</f>
        <v/>
      </c>
      <c r="G37" s="371">
        <f>+G26+G35</f>
        <v/>
      </c>
      <c r="H37" s="371">
        <f>+H26+H35</f>
        <v/>
      </c>
      <c r="I37" s="371">
        <f>+I26+I35</f>
        <v/>
      </c>
      <c r="J37" s="371">
        <f>+J26-N29-N30+J35</f>
        <v/>
      </c>
      <c r="K37" s="371" t="n"/>
      <c r="L37" s="371">
        <f>+L26+L35-L29-L30</f>
        <v/>
      </c>
      <c r="M37" s="371">
        <f>+M26+M35-M29-M30</f>
        <v/>
      </c>
      <c r="N37" s="372">
        <f>SUM(E37:M37)</f>
        <v/>
      </c>
      <c r="O37" s="314" t="n"/>
      <c r="P37" s="36" t="inlineStr">
        <is>
          <t>Flujo caja anual</t>
        </is>
      </c>
      <c r="Q37" s="371" t="n">
        <v>244.3324937027708</v>
      </c>
      <c r="R37" s="371" t="n">
        <v>3768.738179865467</v>
      </c>
      <c r="S37" s="371" t="n">
        <v>-1913.641713713238</v>
      </c>
      <c r="T37" s="371" t="n">
        <v>-958.6417137132385</v>
      </c>
      <c r="U37" s="371" t="n">
        <v>-1018.641713713238</v>
      </c>
      <c r="V37" s="371" t="n">
        <v>8264.285410288365</v>
      </c>
      <c r="W37" s="371" t="n"/>
      <c r="X37" s="371" t="n">
        <v>-3000</v>
      </c>
      <c r="Y37" s="371" t="n">
        <v>-5386.430942716888</v>
      </c>
      <c r="Z37" s="372" t="n">
        <v>0</v>
      </c>
      <c r="AA37" s="314" t="n"/>
    </row>
    <row r="38" hidden="1">
      <c r="B38" s="131" t="n"/>
      <c r="C38" s="290" t="n"/>
      <c r="D38" s="36" t="inlineStr">
        <is>
          <t>Flujo anual acumulado</t>
        </is>
      </c>
      <c r="E38" s="373">
        <f>+E37</f>
        <v/>
      </c>
      <c r="F38" s="373">
        <f>+F37+E38</f>
        <v/>
      </c>
      <c r="G38" s="373">
        <f>+G37+F38</f>
        <v/>
      </c>
      <c r="H38" s="373">
        <f>+H37+G38</f>
        <v/>
      </c>
      <c r="I38" s="373">
        <f>+I37+H38</f>
        <v/>
      </c>
      <c r="J38" s="373">
        <f>+J37+I38</f>
        <v/>
      </c>
      <c r="K38" s="373" t="n"/>
      <c r="L38" s="373">
        <f>+L37+J38</f>
        <v/>
      </c>
      <c r="M38" s="373">
        <f>+M37+L38</f>
        <v/>
      </c>
      <c r="O38" s="361" t="n"/>
      <c r="P38" s="36" t="inlineStr">
        <is>
          <t>Flujo anual acumulado</t>
        </is>
      </c>
      <c r="Q38" s="373" t="n">
        <v>244.3324937027708</v>
      </c>
      <c r="R38" s="373" t="n">
        <v>4013.070673568238</v>
      </c>
      <c r="S38" s="373" t="n">
        <v>2099.428959854999</v>
      </c>
      <c r="T38" s="373" t="n">
        <v>1140.787246141761</v>
      </c>
      <c r="U38" s="373" t="n">
        <v>122.1455324285225</v>
      </c>
      <c r="V38" s="373" t="n">
        <v>8386.430942716888</v>
      </c>
      <c r="W38" s="373" t="n"/>
      <c r="X38" s="373" t="n">
        <v>5386.430942716888</v>
      </c>
      <c r="Y38" s="373" t="n">
        <v>0</v>
      </c>
      <c r="AA38" s="361" t="n"/>
    </row>
    <row r="39" ht="6.6" customHeight="1">
      <c r="B39" s="131" t="n"/>
      <c r="C39" s="290" t="n"/>
    </row>
    <row r="40" ht="16.2" customHeight="1" thickBot="1">
      <c r="D40" s="216" t="inlineStr">
        <is>
          <t>Saldo final Dividendo</t>
        </is>
      </c>
      <c r="E40" s="422" t="n"/>
      <c r="F40" s="422" t="n"/>
      <c r="G40" s="422" t="n"/>
      <c r="H40" s="422" t="n"/>
      <c r="I40" s="422" t="n"/>
      <c r="J40" s="422" t="n"/>
      <c r="K40" s="422" t="n"/>
      <c r="L40" s="422" t="n"/>
      <c r="M40" s="422">
        <f>+J27-N29-N30</f>
        <v/>
      </c>
      <c r="N40" s="410">
        <f>N26-N29-N30</f>
        <v/>
      </c>
      <c r="O40" s="218" t="n"/>
      <c r="P40" s="216" t="inlineStr">
        <is>
          <t>Saldo final Dividendo</t>
        </is>
      </c>
      <c r="Q40" s="413">
        <f>'Flujo 5 años C20'!E38</f>
        <v/>
      </c>
      <c r="R40" s="413">
        <f>'Flujo 5 años C20'!F38</f>
        <v/>
      </c>
      <c r="S40" s="413">
        <f>'Flujo 5 años C20'!G38</f>
        <v/>
      </c>
      <c r="T40" s="413">
        <f>'Flujo 5 años C20'!H38</f>
        <v/>
      </c>
      <c r="U40" s="413">
        <f>'Flujo 5 años C20'!I38</f>
        <v/>
      </c>
      <c r="V40" s="413">
        <f>'Flujo 5 años C20'!J38</f>
        <v/>
      </c>
      <c r="W40" s="413">
        <f>'Flujo 5 años C20'!K38</f>
        <v/>
      </c>
      <c r="X40" s="413">
        <f>'Flujo 5 años C20'!L38</f>
        <v/>
      </c>
      <c r="Y40" s="413">
        <f>'Flujo 5 años C20'!M38</f>
        <v/>
      </c>
      <c r="Z40" s="423">
        <f>Z26-Z29-Z30</f>
        <v/>
      </c>
      <c r="AA40" s="218" t="n"/>
    </row>
    <row r="41">
      <c r="O41" s="370" t="n"/>
      <c r="P41" s="290" t="n"/>
      <c r="AA41" s="370" t="n"/>
    </row>
    <row r="48">
      <c r="G48" s="97" t="n"/>
    </row>
    <row r="49">
      <c r="G49" s="284" t="n"/>
    </row>
  </sheetData>
  <mergeCells count="2">
    <mergeCell ref="D2:N2"/>
    <mergeCell ref="P2:Z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14.6640625" bestFit="1" customWidth="1" min="5" max="5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Dptos'!X23+'IVA Dptos'!M23+'IVA Dptos'!O23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E3">
        <f>118000</f>
        <v/>
      </c>
      <c r="G3" s="312">
        <f>E3-D3</f>
        <v/>
      </c>
      <c r="M3" s="312" t="n"/>
    </row>
    <row r="4">
      <c r="B4" t="inlineStr">
        <is>
          <t>Crédito UF LTV - 72%</t>
        </is>
      </c>
      <c r="D4" s="284">
        <f>D3</f>
        <v/>
      </c>
      <c r="E4" s="312" t="n"/>
    </row>
    <row r="5">
      <c r="B5" t="inlineStr">
        <is>
          <t>Tasa anual nomial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12*12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E19" s="290">
        <f>SUM(H8:H19)</f>
        <v/>
      </c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E151" t="inlineStr">
        <is>
          <t>12 años</t>
        </is>
      </c>
      <c r="G151" s="236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386" t="n"/>
      <c r="I152" s="18" t="n"/>
      <c r="J152" s="290" t="n"/>
      <c r="K152" s="290" t="n"/>
    </row>
    <row r="153">
      <c r="G153" s="153">
        <f>G152+1</f>
        <v/>
      </c>
      <c r="H153" s="386" t="n"/>
      <c r="I153" s="18" t="n"/>
      <c r="J153" s="290" t="n"/>
      <c r="K153" s="290" t="n"/>
    </row>
    <row r="154">
      <c r="G154" s="153">
        <f>G153+1</f>
        <v/>
      </c>
      <c r="H154" s="386" t="n"/>
      <c r="I154" s="18" t="n"/>
      <c r="J154" s="290" t="n"/>
      <c r="K154" s="290" t="n"/>
    </row>
    <row r="155">
      <c r="G155" s="153">
        <f>G154+1</f>
        <v/>
      </c>
      <c r="H155" s="386" t="n"/>
      <c r="I155" s="18" t="n"/>
      <c r="J155" s="290" t="n"/>
      <c r="K155" s="290" t="n"/>
    </row>
    <row r="156">
      <c r="G156" s="153">
        <f>G155+1</f>
        <v/>
      </c>
      <c r="H156" s="386" t="n"/>
      <c r="I156" s="18" t="n"/>
      <c r="J156" s="290" t="n"/>
      <c r="K156" s="290" t="n"/>
    </row>
    <row r="157">
      <c r="G157" s="153">
        <f>G156+1</f>
        <v/>
      </c>
      <c r="H157" s="386" t="n"/>
      <c r="I157" s="18" t="n"/>
      <c r="J157" s="290" t="n"/>
      <c r="K157" s="290" t="n"/>
    </row>
    <row r="158">
      <c r="G158" s="153">
        <f>G157+1</f>
        <v/>
      </c>
      <c r="H158" s="386" t="n"/>
      <c r="I158" s="18" t="n"/>
      <c r="J158" s="290" t="n"/>
      <c r="K158" s="290" t="n"/>
    </row>
    <row r="159">
      <c r="G159" s="153">
        <f>G158+1</f>
        <v/>
      </c>
      <c r="H159" s="386" t="n"/>
      <c r="I159" s="18" t="n"/>
      <c r="J159" s="290" t="n"/>
      <c r="K159" s="290" t="n"/>
    </row>
    <row r="160">
      <c r="G160" s="153">
        <f>G159+1</f>
        <v/>
      </c>
      <c r="H160" s="386" t="n"/>
      <c r="I160" s="18" t="n"/>
      <c r="J160" s="290" t="n"/>
      <c r="K160" s="290" t="n"/>
    </row>
    <row r="161">
      <c r="G161" s="153">
        <f>G160+1</f>
        <v/>
      </c>
      <c r="H161" s="386" t="n"/>
      <c r="I161" s="18" t="n"/>
      <c r="J161" s="290" t="n"/>
      <c r="K161" s="290" t="n"/>
    </row>
    <row r="162">
      <c r="G162" s="153">
        <f>G161+1</f>
        <v/>
      </c>
      <c r="H162" s="386" t="n"/>
      <c r="I162" s="18" t="n"/>
      <c r="J162" s="290" t="n"/>
      <c r="K162" s="290" t="n"/>
    </row>
    <row r="163">
      <c r="G163" s="153">
        <f>G162+1</f>
        <v/>
      </c>
      <c r="H163" s="386" t="n"/>
      <c r="I163" s="18" t="n"/>
      <c r="J163" s="290" t="n"/>
      <c r="K163" s="290" t="n"/>
    </row>
    <row r="164">
      <c r="G164" s="153">
        <f>G163+1</f>
        <v/>
      </c>
      <c r="H164" s="386" t="n"/>
      <c r="I164" s="18" t="n"/>
      <c r="J164" s="290" t="n"/>
      <c r="K164" s="290" t="n"/>
    </row>
    <row r="165">
      <c r="G165" s="153">
        <f>G164+1</f>
        <v/>
      </c>
      <c r="H165" s="386" t="n"/>
      <c r="I165" s="18" t="n"/>
      <c r="J165" s="290" t="n"/>
      <c r="K165" s="290" t="n"/>
    </row>
    <row r="166">
      <c r="G166" s="153">
        <f>G165+1</f>
        <v/>
      </c>
      <c r="H166" s="386" t="n"/>
      <c r="I166" s="18" t="n"/>
      <c r="J166" s="290" t="n"/>
      <c r="K166" s="290" t="n"/>
    </row>
    <row r="167">
      <c r="G167" s="153">
        <f>G166+1</f>
        <v/>
      </c>
      <c r="H167" s="386" t="n"/>
      <c r="I167" s="18" t="n"/>
      <c r="J167" s="290" t="n"/>
      <c r="K167" s="290" t="n"/>
    </row>
    <row r="168">
      <c r="G168" s="153">
        <f>G167+1</f>
        <v/>
      </c>
      <c r="H168" s="386" t="n"/>
      <c r="I168" s="18" t="n"/>
      <c r="J168" s="290" t="n"/>
      <c r="K168" s="290" t="n"/>
    </row>
    <row r="169">
      <c r="G169" s="153">
        <f>G168+1</f>
        <v/>
      </c>
      <c r="H169" s="386" t="n"/>
      <c r="I169" s="18" t="n"/>
      <c r="J169" s="290" t="n"/>
      <c r="K169" s="290" t="n"/>
    </row>
    <row r="170">
      <c r="G170" s="153">
        <f>G169+1</f>
        <v/>
      </c>
      <c r="H170" s="386" t="n"/>
      <c r="I170" s="18" t="n"/>
      <c r="J170" s="290" t="n"/>
      <c r="K170" s="290" t="n"/>
    </row>
    <row r="171">
      <c r="G171" s="153">
        <f>G170+1</f>
        <v/>
      </c>
      <c r="H171" s="386" t="n"/>
      <c r="I171" s="18" t="n"/>
      <c r="J171" s="290" t="n"/>
      <c r="K171" s="290" t="n"/>
    </row>
    <row r="172">
      <c r="G172" s="153">
        <f>G171+1</f>
        <v/>
      </c>
      <c r="H172" s="386" t="n"/>
      <c r="I172" s="18" t="n"/>
      <c r="J172" s="290" t="n"/>
      <c r="K172" s="290" t="n"/>
    </row>
    <row r="173">
      <c r="G173" s="153">
        <f>G172+1</f>
        <v/>
      </c>
      <c r="H173" s="386" t="n"/>
      <c r="I173" s="18" t="n"/>
      <c r="J173" s="290" t="n"/>
      <c r="K173" s="290" t="n"/>
    </row>
    <row r="174">
      <c r="G174" s="153">
        <f>G173+1</f>
        <v/>
      </c>
      <c r="H174" s="386" t="n"/>
      <c r="I174" s="18" t="n"/>
      <c r="J174" s="290" t="n"/>
      <c r="K174" s="290" t="n"/>
    </row>
    <row r="175">
      <c r="G175" s="153">
        <f>G174+1</f>
        <v/>
      </c>
      <c r="H175" s="386" t="n"/>
      <c r="I175" s="18" t="n"/>
      <c r="J175" s="290" t="n"/>
      <c r="K175" s="290" t="n"/>
    </row>
    <row r="176">
      <c r="G176" s="153">
        <f>G175+1</f>
        <v/>
      </c>
      <c r="H176" s="386" t="n"/>
      <c r="I176" s="18" t="n"/>
      <c r="J176" s="290" t="n"/>
      <c r="K176" s="290" t="n"/>
    </row>
    <row r="177">
      <c r="G177" s="153">
        <f>G176+1</f>
        <v/>
      </c>
      <c r="H177" s="386" t="n"/>
      <c r="I177" s="18" t="n"/>
      <c r="J177" s="290" t="n"/>
      <c r="K177" s="290" t="n"/>
    </row>
    <row r="178">
      <c r="G178" s="153">
        <f>G177+1</f>
        <v/>
      </c>
      <c r="H178" s="386" t="n"/>
      <c r="I178" s="18" t="n"/>
      <c r="J178" s="290" t="n"/>
      <c r="K178" s="290" t="n"/>
    </row>
    <row r="179">
      <c r="G179" s="153">
        <f>G178+1</f>
        <v/>
      </c>
      <c r="H179" s="386" t="n"/>
      <c r="I179" s="18" t="n"/>
      <c r="J179" s="290" t="n"/>
      <c r="K179" s="290" t="n"/>
    </row>
    <row r="180">
      <c r="G180" s="153">
        <f>G179+1</f>
        <v/>
      </c>
      <c r="H180" s="386" t="n"/>
      <c r="I180" s="18" t="n"/>
      <c r="J180" s="290" t="n"/>
      <c r="K180" s="290" t="n"/>
    </row>
    <row r="181">
      <c r="G181" s="153">
        <f>G180+1</f>
        <v/>
      </c>
      <c r="H181" s="386" t="n"/>
      <c r="I181" s="18" t="n"/>
      <c r="J181" s="290" t="n"/>
      <c r="K181" s="290" t="n"/>
    </row>
    <row r="182">
      <c r="G182" s="153">
        <f>G181+1</f>
        <v/>
      </c>
      <c r="H182" s="386" t="n"/>
      <c r="I182" s="18" t="n"/>
      <c r="J182" s="290" t="n"/>
      <c r="K182" s="290" t="n"/>
    </row>
    <row r="183">
      <c r="G183" s="153">
        <f>G182+1</f>
        <v/>
      </c>
      <c r="H183" s="386" t="n"/>
      <c r="I183" s="18" t="n"/>
      <c r="J183" s="290" t="n"/>
      <c r="K183" s="290" t="n"/>
    </row>
    <row r="184">
      <c r="G184" s="153">
        <f>G183+1</f>
        <v/>
      </c>
      <c r="H184" s="386" t="n"/>
      <c r="I184" s="18" t="n"/>
      <c r="J184" s="290" t="n"/>
      <c r="K184" s="290" t="n"/>
    </row>
    <row r="185">
      <c r="G185" s="153">
        <f>G184+1</f>
        <v/>
      </c>
      <c r="H185" s="386" t="n"/>
      <c r="I185" s="18" t="n"/>
      <c r="J185" s="290" t="n"/>
      <c r="K185" s="290" t="n"/>
    </row>
    <row r="186">
      <c r="G186" s="153">
        <f>G185+1</f>
        <v/>
      </c>
      <c r="H186" s="386" t="n"/>
      <c r="I186" s="18" t="n"/>
      <c r="J186" s="290" t="n"/>
      <c r="K186" s="290" t="n"/>
    </row>
    <row r="187">
      <c r="G187" s="153">
        <f>G186+1</f>
        <v/>
      </c>
      <c r="H187" s="386" t="n"/>
      <c r="I187" s="18" t="n"/>
      <c r="J187" s="290" t="n"/>
      <c r="K187" s="290" t="n"/>
    </row>
    <row r="188">
      <c r="G188" s="153">
        <f>G187+1</f>
        <v/>
      </c>
      <c r="H188" s="386" t="n"/>
      <c r="I188" s="18" t="n"/>
      <c r="J188" s="290" t="n"/>
      <c r="K188" s="290" t="n"/>
    </row>
    <row r="189">
      <c r="G189" s="153">
        <f>G188+1</f>
        <v/>
      </c>
      <c r="H189" s="386" t="n"/>
      <c r="I189" s="18" t="n"/>
      <c r="J189" s="290" t="n"/>
      <c r="K189" s="290" t="n"/>
    </row>
    <row r="190">
      <c r="G190" s="153">
        <f>G189+1</f>
        <v/>
      </c>
      <c r="H190" s="386" t="n"/>
      <c r="I190" s="18" t="n"/>
      <c r="J190" s="290" t="n"/>
      <c r="K190" s="290" t="n"/>
    </row>
    <row r="191">
      <c r="G191" s="153">
        <f>G190+1</f>
        <v/>
      </c>
      <c r="H191" s="386" t="n"/>
      <c r="I191" s="18" t="n"/>
      <c r="J191" s="290" t="n"/>
      <c r="K191" s="290" t="n"/>
    </row>
    <row r="192">
      <c r="G192" s="153">
        <f>G191+1</f>
        <v/>
      </c>
      <c r="H192" s="386" t="n"/>
      <c r="I192" s="18" t="n"/>
      <c r="J192" s="290" t="n"/>
      <c r="K192" s="290" t="n"/>
    </row>
    <row r="193">
      <c r="G193" s="153">
        <f>G192+1</f>
        <v/>
      </c>
      <c r="H193" s="386" t="n"/>
      <c r="I193" s="18" t="n"/>
      <c r="J193" s="290" t="n"/>
      <c r="K193" s="290" t="n"/>
    </row>
    <row r="194">
      <c r="G194" s="153">
        <f>G193+1</f>
        <v/>
      </c>
      <c r="H194" s="386" t="n"/>
      <c r="I194" s="18" t="n"/>
      <c r="J194" s="290" t="n"/>
      <c r="K194" s="290" t="n"/>
    </row>
    <row r="195">
      <c r="G195" s="153">
        <f>G194+1</f>
        <v/>
      </c>
      <c r="H195" s="386" t="n"/>
      <c r="I195" s="18" t="n"/>
      <c r="J195" s="290" t="n"/>
      <c r="K195" s="290" t="n"/>
    </row>
    <row r="196">
      <c r="G196" s="153">
        <f>G195+1</f>
        <v/>
      </c>
      <c r="H196" s="386" t="n"/>
      <c r="I196" s="18" t="n"/>
      <c r="J196" s="290" t="n"/>
      <c r="K196" s="290" t="n"/>
    </row>
    <row r="197">
      <c r="G197" s="153">
        <f>G196+1</f>
        <v/>
      </c>
      <c r="H197" s="386" t="n"/>
      <c r="I197" s="18" t="n"/>
      <c r="J197" s="290" t="n"/>
      <c r="K197" s="290" t="n"/>
    </row>
    <row r="198">
      <c r="G198" s="153">
        <f>G197+1</f>
        <v/>
      </c>
      <c r="H198" s="386" t="n"/>
      <c r="I198" s="18" t="n"/>
      <c r="J198" s="290" t="n"/>
      <c r="K198" s="290" t="n"/>
    </row>
    <row r="199">
      <c r="G199" s="153">
        <f>G198+1</f>
        <v/>
      </c>
      <c r="H199" s="386" t="n"/>
      <c r="I199" s="18" t="n"/>
      <c r="J199" s="290" t="n"/>
      <c r="K199" s="290" t="n"/>
    </row>
    <row r="200">
      <c r="G200" s="153">
        <f>G199+1</f>
        <v/>
      </c>
      <c r="H200" s="386" t="n"/>
      <c r="I200" s="18" t="n"/>
      <c r="J200" s="290" t="n"/>
      <c r="K200" s="290" t="n"/>
    </row>
    <row r="201">
      <c r="G201" s="153">
        <f>G200+1</f>
        <v/>
      </c>
      <c r="H201" s="386" t="n"/>
      <c r="I201" s="18" t="n"/>
      <c r="J201" s="290" t="n"/>
      <c r="K201" s="290" t="n"/>
    </row>
    <row r="202">
      <c r="G202" s="153">
        <f>G201+1</f>
        <v/>
      </c>
      <c r="H202" s="386" t="n"/>
      <c r="I202" s="18" t="n"/>
      <c r="J202" s="290" t="n"/>
      <c r="K202" s="290" t="n"/>
    </row>
    <row r="203">
      <c r="G203" s="153">
        <f>G202+1</f>
        <v/>
      </c>
      <c r="H203" s="386" t="n"/>
      <c r="I203" s="18" t="n"/>
      <c r="J203" s="290" t="n"/>
      <c r="K203" s="290" t="n"/>
    </row>
    <row r="204">
      <c r="G204" s="153">
        <f>G203+1</f>
        <v/>
      </c>
      <c r="H204" s="386" t="n"/>
      <c r="I204" s="18" t="n"/>
      <c r="J204" s="290" t="n"/>
      <c r="K204" s="290" t="n"/>
    </row>
    <row r="205">
      <c r="G205" s="153">
        <f>G204+1</f>
        <v/>
      </c>
      <c r="H205" s="386" t="n"/>
      <c r="I205" s="18" t="n"/>
      <c r="J205" s="290" t="n"/>
      <c r="K205" s="290" t="n"/>
    </row>
    <row r="206">
      <c r="G206" s="153">
        <f>G205+1</f>
        <v/>
      </c>
      <c r="H206" s="386" t="n"/>
      <c r="I206" s="18" t="n"/>
      <c r="J206" s="290" t="n"/>
      <c r="K206" s="290" t="n"/>
    </row>
    <row r="207">
      <c r="G207" s="153">
        <f>G206+1</f>
        <v/>
      </c>
      <c r="H207" s="386" t="n"/>
      <c r="I207" s="18" t="n"/>
      <c r="J207" s="290" t="n"/>
      <c r="K207" s="290" t="n"/>
    </row>
    <row r="208">
      <c r="G208" s="153">
        <f>G207+1</f>
        <v/>
      </c>
      <c r="H208" s="386" t="n"/>
      <c r="I208" s="18" t="n"/>
      <c r="J208" s="290" t="n"/>
      <c r="K208" s="290" t="n"/>
    </row>
    <row r="209">
      <c r="G209" s="153">
        <f>G208+1</f>
        <v/>
      </c>
      <c r="H209" s="386" t="n"/>
      <c r="I209" s="18" t="n"/>
      <c r="J209" s="290" t="n"/>
      <c r="K209" s="290" t="n"/>
    </row>
    <row r="210">
      <c r="G210" s="153">
        <f>G209+1</f>
        <v/>
      </c>
      <c r="H210" s="386" t="n"/>
      <c r="I210" s="18" t="n"/>
      <c r="J210" s="290" t="n"/>
      <c r="K210" s="290" t="n"/>
    </row>
    <row r="211">
      <c r="G211" s="153">
        <f>G210+1</f>
        <v/>
      </c>
      <c r="H211" s="386" t="n"/>
      <c r="I211" s="18" t="n"/>
      <c r="J211" s="290" t="n"/>
      <c r="K211" s="290" t="n"/>
    </row>
    <row r="212">
      <c r="G212" s="153">
        <f>G211+1</f>
        <v/>
      </c>
      <c r="H212" s="386" t="n"/>
      <c r="I212" s="18" t="n"/>
      <c r="J212" s="290" t="n"/>
      <c r="K212" s="290" t="n"/>
    </row>
    <row r="213">
      <c r="G213" s="153">
        <f>G212+1</f>
        <v/>
      </c>
      <c r="H213" s="386" t="n"/>
      <c r="I213" s="18" t="n"/>
      <c r="J213" s="290" t="n"/>
      <c r="K213" s="290" t="n"/>
    </row>
    <row r="214">
      <c r="G214" s="153">
        <f>G213+1</f>
        <v/>
      </c>
      <c r="H214" s="386" t="n"/>
      <c r="I214" s="18" t="n"/>
      <c r="J214" s="290" t="n"/>
      <c r="K214" s="290" t="n"/>
    </row>
    <row r="215">
      <c r="G215" s="153">
        <f>G214+1</f>
        <v/>
      </c>
      <c r="H215" s="386" t="n"/>
      <c r="I215" s="18" t="n"/>
      <c r="J215" s="290" t="n"/>
      <c r="K215" s="290" t="n"/>
    </row>
    <row r="216">
      <c r="G216" s="153">
        <f>G215+1</f>
        <v/>
      </c>
      <c r="H216" s="386" t="n"/>
      <c r="I216" s="18" t="n"/>
      <c r="J216" s="290" t="n"/>
      <c r="K216" s="290" t="n"/>
    </row>
    <row r="217">
      <c r="G217" s="153">
        <f>G216+1</f>
        <v/>
      </c>
      <c r="H217" s="386" t="n"/>
      <c r="I217" s="18" t="n"/>
      <c r="J217" s="290" t="n"/>
      <c r="K217" s="290" t="n"/>
    </row>
    <row r="218">
      <c r="G218" s="153">
        <f>G217+1</f>
        <v/>
      </c>
      <c r="H218" s="386" t="n"/>
      <c r="I218" s="18" t="n"/>
      <c r="J218" s="290" t="n"/>
      <c r="K218" s="290" t="n"/>
    </row>
    <row r="219">
      <c r="G219" s="153">
        <f>G218+1</f>
        <v/>
      </c>
      <c r="H219" s="386" t="n"/>
      <c r="I219" s="18" t="n"/>
      <c r="J219" s="290" t="n"/>
      <c r="K219" s="290" t="n"/>
    </row>
    <row r="220">
      <c r="G220" s="153">
        <f>G219+1</f>
        <v/>
      </c>
      <c r="H220" s="386" t="n"/>
      <c r="I220" s="18" t="n"/>
      <c r="J220" s="290" t="n"/>
      <c r="K220" s="290" t="n"/>
    </row>
    <row r="221">
      <c r="G221" s="153">
        <f>G220+1</f>
        <v/>
      </c>
      <c r="H221" s="386" t="n"/>
      <c r="I221" s="18" t="n"/>
      <c r="J221" s="290" t="n"/>
      <c r="K221" s="290" t="n"/>
    </row>
    <row r="222">
      <c r="G222" s="153">
        <f>G221+1</f>
        <v/>
      </c>
      <c r="H222" s="386" t="n"/>
      <c r="I222" s="18" t="n"/>
      <c r="J222" s="290" t="n"/>
      <c r="K222" s="290" t="n"/>
    </row>
    <row r="223">
      <c r="G223" s="153">
        <f>G222+1</f>
        <v/>
      </c>
      <c r="H223" s="386" t="n"/>
      <c r="I223" s="18" t="n"/>
      <c r="J223" s="290" t="n"/>
      <c r="K223" s="290" t="n"/>
    </row>
    <row r="224">
      <c r="G224" s="153">
        <f>G223+1</f>
        <v/>
      </c>
      <c r="H224" s="386" t="n"/>
      <c r="I224" s="18" t="n"/>
      <c r="J224" s="290" t="n"/>
      <c r="K224" s="290" t="n"/>
    </row>
    <row r="225">
      <c r="G225" s="153">
        <f>G224+1</f>
        <v/>
      </c>
      <c r="H225" s="386" t="n"/>
      <c r="I225" s="18" t="n"/>
      <c r="J225" s="290" t="n"/>
      <c r="K225" s="290" t="n"/>
    </row>
    <row r="226">
      <c r="G226" s="153">
        <f>G225+1</f>
        <v/>
      </c>
      <c r="H226" s="386" t="n"/>
      <c r="I226" s="18" t="n"/>
      <c r="J226" s="290" t="n"/>
      <c r="K226" s="290" t="n"/>
    </row>
    <row r="227">
      <c r="G227" s="153">
        <f>G226+1</f>
        <v/>
      </c>
      <c r="H227" s="386" t="n"/>
      <c r="I227" s="18" t="n"/>
      <c r="J227" s="290" t="n"/>
      <c r="K227" s="290" t="n"/>
    </row>
    <row r="228">
      <c r="G228" s="153">
        <f>G227+1</f>
        <v/>
      </c>
      <c r="H228" s="386" t="n"/>
      <c r="I228" s="18" t="n"/>
      <c r="J228" s="290" t="n"/>
      <c r="K228" s="290" t="n"/>
    </row>
    <row r="229">
      <c r="G229" s="153">
        <f>G228+1</f>
        <v/>
      </c>
      <c r="H229" s="386" t="n"/>
      <c r="I229" s="18" t="n"/>
      <c r="J229" s="290" t="n"/>
      <c r="K229" s="290" t="n"/>
    </row>
    <row r="230">
      <c r="G230" s="153">
        <f>G229+1</f>
        <v/>
      </c>
      <c r="H230" s="386" t="n"/>
      <c r="I230" s="18" t="n"/>
      <c r="J230" s="290" t="n"/>
      <c r="K230" s="290" t="n"/>
    </row>
    <row r="231">
      <c r="G231" s="153">
        <f>G230+1</f>
        <v/>
      </c>
      <c r="H231" s="386" t="n"/>
      <c r="I231" s="18" t="n"/>
      <c r="J231" s="290" t="n"/>
      <c r="K231" s="290" t="n"/>
    </row>
    <row r="232">
      <c r="G232" s="153">
        <f>G231+1</f>
        <v/>
      </c>
      <c r="H232" s="386" t="n"/>
      <c r="I232" s="18" t="n"/>
      <c r="J232" s="290" t="n"/>
      <c r="K232" s="290" t="n"/>
    </row>
    <row r="233">
      <c r="G233" s="153">
        <f>G232+1</f>
        <v/>
      </c>
      <c r="H233" s="386" t="n"/>
      <c r="I233" s="18" t="n"/>
      <c r="J233" s="290" t="n"/>
      <c r="K233" s="290" t="n"/>
    </row>
    <row r="234">
      <c r="G234" s="153">
        <f>G233+1</f>
        <v/>
      </c>
      <c r="H234" s="386" t="n"/>
      <c r="I234" s="18" t="n"/>
      <c r="J234" s="290" t="n"/>
      <c r="K234" s="290" t="n"/>
    </row>
    <row r="235">
      <c r="G235" s="153">
        <f>G234+1</f>
        <v/>
      </c>
      <c r="H235" s="386" t="n"/>
      <c r="I235" s="18" t="n"/>
      <c r="J235" s="290" t="n"/>
      <c r="K235" s="290" t="n"/>
    </row>
    <row r="236">
      <c r="G236" s="153">
        <f>G235+1</f>
        <v/>
      </c>
      <c r="H236" s="386" t="n"/>
      <c r="I236" s="18" t="n"/>
      <c r="J236" s="290" t="n"/>
      <c r="K236" s="290" t="n"/>
    </row>
    <row r="237">
      <c r="G237" s="153">
        <f>G236+1</f>
        <v/>
      </c>
      <c r="H237" s="386" t="n"/>
      <c r="I237" s="18" t="n"/>
      <c r="J237" s="290" t="n"/>
      <c r="K237" s="290" t="n"/>
    </row>
    <row r="238">
      <c r="G238" s="153">
        <f>G237+1</f>
        <v/>
      </c>
      <c r="H238" s="386" t="n"/>
      <c r="I238" s="18" t="n"/>
      <c r="J238" s="290" t="n"/>
      <c r="K238" s="290" t="n"/>
    </row>
    <row r="239">
      <c r="G239" s="153">
        <f>G238+1</f>
        <v/>
      </c>
      <c r="H239" s="386" t="n"/>
      <c r="I239" s="18" t="n"/>
      <c r="J239" s="290" t="n"/>
      <c r="K239" s="290" t="n"/>
    </row>
    <row r="240">
      <c r="G240" s="153">
        <f>G239+1</f>
        <v/>
      </c>
      <c r="H240" s="386" t="n"/>
      <c r="I240" s="18" t="n"/>
      <c r="J240" s="290" t="n"/>
      <c r="K240" s="290" t="n"/>
    </row>
    <row r="241">
      <c r="G241" s="153">
        <f>G240+1</f>
        <v/>
      </c>
      <c r="H241" s="386" t="n"/>
      <c r="I241" s="18" t="n"/>
      <c r="J241" s="290" t="n"/>
      <c r="K241" s="290" t="n"/>
    </row>
    <row r="242">
      <c r="G242" s="153">
        <f>G241+1</f>
        <v/>
      </c>
    </row>
    <row r="243">
      <c r="G243" s="153">
        <f>G242+1</f>
        <v/>
      </c>
    </row>
    <row r="244">
      <c r="G244" s="153">
        <f>G243+1</f>
        <v/>
      </c>
    </row>
    <row r="245">
      <c r="G245" s="153">
        <f>G244+1</f>
        <v/>
      </c>
    </row>
    <row r="246">
      <c r="G246" s="153">
        <f>G245+1</f>
        <v/>
      </c>
    </row>
    <row r="247">
      <c r="E247" t="inlineStr">
        <is>
          <t>20 AÑOS</t>
        </is>
      </c>
      <c r="G247" s="153">
        <f>G246+1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SUM('Flujo 5 años C12'!E30:I30)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>
        <f>'Flujo 5 años C12'!G30</f>
        <v/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C12'!H30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C12'!I30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92D050"/>
    <outlinePr summaryBelow="1" summaryRight="1"/>
    <pageSetUpPr/>
  </sheetPr>
  <dimension ref="B2:R47"/>
  <sheetViews>
    <sheetView workbookViewId="0">
      <selection activeCell="A1" sqref="A1"/>
    </sheetView>
  </sheetViews>
  <sheetFormatPr baseColWidth="10" defaultRowHeight="14.4"/>
  <cols>
    <col width="3.109375" customWidth="1" min="1" max="1"/>
    <col width="6.6640625" bestFit="1" customWidth="1" min="2" max="2"/>
    <col width="2.44140625" customWidth="1" min="3" max="3"/>
    <col width="43.5546875" bestFit="1" customWidth="1" min="4" max="4"/>
    <col width="10" bestFit="1" customWidth="1" min="5" max="5"/>
    <col width="10.44140625" bestFit="1" customWidth="1" min="6" max="7"/>
    <col width="11.109375" bestFit="1" customWidth="1" min="8" max="9"/>
    <col width="11.5546875" bestFit="1" customWidth="1" min="10" max="10"/>
    <col width="6.109375" bestFit="1" customWidth="1" min="11" max="11"/>
    <col width="11.109375" bestFit="1" customWidth="1" min="12" max="13"/>
    <col width="11.5546875" bestFit="1" customWidth="1" min="14" max="14"/>
    <col width="4.21875" customWidth="1" min="15" max="15"/>
    <col width="17.44140625" bestFit="1" customWidth="1" min="16" max="16"/>
    <col width="16.6640625" bestFit="1" customWidth="1" min="17" max="17"/>
    <col width="18" bestFit="1" customWidth="1" min="18" max="18"/>
    <col width="17.21875" bestFit="1" customWidth="1" min="19" max="19"/>
  </cols>
  <sheetData>
    <row r="2">
      <c r="D2" s="36" t="inlineStr">
        <is>
          <t>Ingresos</t>
        </is>
      </c>
      <c r="E2" s="69" t="inlineStr">
        <is>
          <t>Año 0</t>
        </is>
      </c>
      <c r="F2" s="69" t="inlineStr">
        <is>
          <t>Año 1</t>
        </is>
      </c>
      <c r="G2" s="69" t="inlineStr">
        <is>
          <t>Año 2</t>
        </is>
      </c>
      <c r="H2" s="69" t="inlineStr">
        <is>
          <t>Año 3</t>
        </is>
      </c>
      <c r="I2" s="69" t="inlineStr">
        <is>
          <t>Año 4</t>
        </is>
      </c>
      <c r="J2" s="69" t="inlineStr">
        <is>
          <t>Año 5</t>
        </is>
      </c>
      <c r="K2" s="69" t="inlineStr">
        <is>
          <t>Año 6</t>
        </is>
      </c>
      <c r="L2" s="123" t="inlineStr">
        <is>
          <t>Dev. Prest</t>
        </is>
      </c>
      <c r="M2" s="123" t="inlineStr">
        <is>
          <t>Dividendo</t>
        </is>
      </c>
      <c r="N2" s="70" t="inlineStr">
        <is>
          <t>Total</t>
        </is>
      </c>
      <c r="O2" s="119" t="n"/>
    </row>
    <row r="3">
      <c r="D3" s="24" t="inlineStr">
        <is>
          <t>Arriendos</t>
        </is>
      </c>
      <c r="E3" s="347" t="n"/>
      <c r="F3" s="347">
        <f>'Flujo mensual'!P4</f>
        <v/>
      </c>
      <c r="G3" s="347">
        <f>'Flujo mensual'!$O$4*12*0.9</f>
        <v/>
      </c>
      <c r="H3" s="347">
        <f>'Flujo mensual'!$O$4*12*0.9</f>
        <v/>
      </c>
      <c r="I3" s="347">
        <f>'Flujo mensual'!$O$4*12*0.9</f>
        <v/>
      </c>
      <c r="J3" s="347">
        <f>'Flujo mensual'!$O$4*12*0.9</f>
        <v/>
      </c>
      <c r="K3" s="356" t="n"/>
      <c r="L3" s="356" t="n"/>
      <c r="M3" s="356" t="n"/>
      <c r="N3" s="348">
        <f>SUM(F3:M3)</f>
        <v/>
      </c>
      <c r="O3" s="314" t="n"/>
    </row>
    <row r="4">
      <c r="D4" s="27" t="inlineStr">
        <is>
          <t>C. Fiscal Equip.</t>
        </is>
      </c>
      <c r="E4" s="349" t="n"/>
      <c r="F4" s="349">
        <f>'Flujo mensual'!G5</f>
        <v/>
      </c>
      <c r="G4" s="349" t="n">
        <v>0</v>
      </c>
      <c r="H4" s="349" t="n">
        <v>0</v>
      </c>
      <c r="I4" s="349" t="n">
        <v>0</v>
      </c>
      <c r="J4" s="349" t="n">
        <v>0</v>
      </c>
      <c r="K4" s="357" t="n"/>
      <c r="L4" s="357" t="n"/>
      <c r="M4" s="357" t="n"/>
      <c r="N4" s="350">
        <f>SUM(F4:M4)</f>
        <v/>
      </c>
      <c r="O4" s="314" t="n"/>
    </row>
    <row r="5">
      <c r="D5" s="27" t="inlineStr">
        <is>
          <t>C. Fiscal Unidades</t>
        </is>
      </c>
      <c r="E5" s="349" t="n"/>
      <c r="F5" s="349">
        <f>'Flujo mensual'!G6</f>
        <v/>
      </c>
      <c r="G5" s="349" t="n">
        <v>0</v>
      </c>
      <c r="H5" s="349" t="n">
        <v>0</v>
      </c>
      <c r="I5" s="349" t="n">
        <v>0</v>
      </c>
      <c r="J5" s="349" t="n">
        <v>0</v>
      </c>
      <c r="K5" s="357" t="n"/>
      <c r="L5" s="357" t="n"/>
      <c r="M5" s="357" t="n"/>
      <c r="N5" s="350">
        <f>SUM(F5:M5)</f>
        <v/>
      </c>
      <c r="O5" s="314" t="n"/>
    </row>
    <row r="6">
      <c r="D6" s="31" t="inlineStr">
        <is>
          <t>Venta propiedades</t>
        </is>
      </c>
      <c r="E6" s="351" t="n"/>
      <c r="F6" s="351" t="n">
        <v>0</v>
      </c>
      <c r="G6" s="351" t="n">
        <v>0</v>
      </c>
      <c r="H6" s="351" t="n">
        <v>0</v>
      </c>
      <c r="I6" s="351" t="n">
        <v>0</v>
      </c>
      <c r="J6" s="351">
        <f>'IVA Dptos'!AD23*0.9</f>
        <v/>
      </c>
      <c r="K6" s="358" t="n"/>
      <c r="L6" s="358" t="n"/>
      <c r="M6" s="358" t="n"/>
      <c r="N6" s="352">
        <f>SUM(F6:M6)</f>
        <v/>
      </c>
      <c r="O6" s="314" t="n"/>
      <c r="P6" t="inlineStr">
        <is>
          <t>Venta sin mayor plusvalía</t>
        </is>
      </c>
    </row>
    <row r="7">
      <c r="D7" s="36" t="inlineStr">
        <is>
          <t>Total Ingresos</t>
        </is>
      </c>
      <c r="E7" s="359">
        <f>SUM(E3:E6)</f>
        <v/>
      </c>
      <c r="F7" s="359">
        <f>SUM(F3:F6)</f>
        <v/>
      </c>
      <c r="G7" s="359">
        <f>SUM(G3:G6)</f>
        <v/>
      </c>
      <c r="H7" s="359">
        <f>SUM(H3:H6)</f>
        <v/>
      </c>
      <c r="I7" s="359">
        <f>SUM(I3:I6)</f>
        <v/>
      </c>
      <c r="J7" s="359">
        <f>SUM(J3:J6)</f>
        <v/>
      </c>
      <c r="K7" s="359">
        <f>SUM(K3:K6)</f>
        <v/>
      </c>
      <c r="L7" s="359">
        <f>SUM(L3:L6)</f>
        <v/>
      </c>
      <c r="M7" s="359">
        <f>SUM(M3:M6)</f>
        <v/>
      </c>
      <c r="N7" s="360">
        <f>SUM(N3:N6)</f>
        <v/>
      </c>
      <c r="O7" s="361" t="n"/>
    </row>
    <row r="9">
      <c r="B9" s="1" t="n"/>
      <c r="C9" s="1" t="n"/>
      <c r="D9" s="36" t="inlineStr">
        <is>
          <t>Egresos</t>
        </is>
      </c>
      <c r="E9" s="69" t="inlineStr">
        <is>
          <t>Año 0</t>
        </is>
      </c>
      <c r="F9" s="69" t="inlineStr">
        <is>
          <t>Año 1</t>
        </is>
      </c>
      <c r="G9" s="69" t="inlineStr">
        <is>
          <t>Año 2</t>
        </is>
      </c>
      <c r="H9" s="69" t="inlineStr">
        <is>
          <t>Año 3</t>
        </is>
      </c>
      <c r="I9" s="69" t="inlineStr">
        <is>
          <t>Año 4</t>
        </is>
      </c>
      <c r="J9" s="69" t="inlineStr">
        <is>
          <t>Año 5</t>
        </is>
      </c>
      <c r="K9" s="69" t="inlineStr">
        <is>
          <t>Año 6</t>
        </is>
      </c>
      <c r="L9" s="123" t="n"/>
      <c r="M9" s="123" t="n"/>
      <c r="N9" s="70" t="inlineStr">
        <is>
          <t>Total</t>
        </is>
      </c>
      <c r="O9" s="119" t="n"/>
      <c r="Q9" s="1" t="n"/>
    </row>
    <row r="10">
      <c r="B10" s="1" t="n"/>
      <c r="C10" s="1" t="n"/>
      <c r="D10" s="78" t="inlineStr">
        <is>
          <t>Amoblado</t>
        </is>
      </c>
      <c r="E10" s="349">
        <f>'Flujo mensual'!C11</f>
        <v/>
      </c>
      <c r="F10" s="349" t="n">
        <v>0</v>
      </c>
      <c r="G10" s="349" t="n">
        <v>0</v>
      </c>
      <c r="H10" s="349" t="n">
        <v>0</v>
      </c>
      <c r="I10" s="349" t="n">
        <v>0</v>
      </c>
      <c r="J10" s="349" t="n">
        <v>0</v>
      </c>
      <c r="K10" s="349" t="n"/>
      <c r="L10" s="349" t="n"/>
      <c r="M10" s="349" t="n"/>
      <c r="N10" s="362">
        <f>SUM(E10:M10)</f>
        <v/>
      </c>
      <c r="O10" s="314" t="n"/>
      <c r="Q10" s="1" t="n"/>
    </row>
    <row r="11">
      <c r="B11" s="1" t="n"/>
      <c r="C11" s="1" t="n"/>
      <c r="D11" s="27" t="inlineStr">
        <is>
          <t>Contribuciones</t>
        </is>
      </c>
      <c r="E11" s="349" t="n"/>
      <c r="F11" s="349">
        <f>'Flujo mensual'!$P$12</f>
        <v/>
      </c>
      <c r="G11" s="349">
        <f>'Flujo mensual'!$P$12</f>
        <v/>
      </c>
      <c r="H11" s="349">
        <f>'Flujo mensual'!$P$12</f>
        <v/>
      </c>
      <c r="I11" s="349">
        <f>'Flujo mensual'!$P$12</f>
        <v/>
      </c>
      <c r="J11" s="349">
        <f>'Flujo mensual'!$P$12</f>
        <v/>
      </c>
      <c r="K11" s="363" t="n"/>
      <c r="L11" s="363" t="n"/>
      <c r="M11" s="363" t="n"/>
      <c r="N11" s="362">
        <f>SUM(E11:M11)</f>
        <v/>
      </c>
      <c r="O11" s="314" t="n"/>
      <c r="Q11" s="1" t="n"/>
    </row>
    <row r="12">
      <c r="B12" s="1" t="n"/>
      <c r="C12" s="1" t="n"/>
      <c r="D12" s="78" t="inlineStr">
        <is>
          <t>Cuota de alzaminto</t>
        </is>
      </c>
      <c r="E12" s="349">
        <f>'Crédito Comercial 12A'!D10</f>
        <v/>
      </c>
      <c r="F12" s="349" t="n"/>
      <c r="G12" s="349" t="n"/>
      <c r="H12" s="349" t="n"/>
      <c r="I12" s="349" t="n"/>
      <c r="J12" s="349" t="n"/>
      <c r="K12" s="363" t="n"/>
      <c r="L12" s="363" t="n"/>
      <c r="M12" s="363" t="n"/>
      <c r="N12" s="362">
        <f>SUM(E12:M12)</f>
        <v/>
      </c>
      <c r="O12" s="314" t="n"/>
      <c r="P12" s="1" t="n"/>
      <c r="Q12" s="1" t="n"/>
    </row>
    <row r="13">
      <c r="B13" s="1" t="n"/>
      <c r="C13" s="1" t="n"/>
      <c r="D13" s="27" t="inlineStr">
        <is>
          <t>Dividendo</t>
        </is>
      </c>
      <c r="E13" s="349" t="n"/>
      <c r="F13" s="349">
        <f>-'Crédito Comercial 20A'!$H$8*12</f>
        <v/>
      </c>
      <c r="G13" s="349">
        <f>-'Crédito Comercial 20A'!$H$8*12</f>
        <v/>
      </c>
      <c r="H13" s="349">
        <f>-'Crédito Comercial 20A'!$H$8*12</f>
        <v/>
      </c>
      <c r="I13" s="349">
        <f>-'Crédito Comercial 20A'!$H$8*12</f>
        <v/>
      </c>
      <c r="J13" s="349">
        <f>-'Crédito Comercial 20A'!$H$8*12</f>
        <v/>
      </c>
      <c r="K13" s="363" t="n"/>
      <c r="L13" s="363" t="n"/>
      <c r="M13" s="363" t="n"/>
      <c r="N13" s="362">
        <f>SUM(E13:M13)</f>
        <v/>
      </c>
      <c r="O13" s="314" t="n"/>
      <c r="P13" s="1" t="n"/>
    </row>
    <row r="14">
      <c r="D14" s="27" t="inlineStr">
        <is>
          <t>Gasto operacional</t>
        </is>
      </c>
      <c r="E14" s="349">
        <f>'Flujo mensual'!P14</f>
        <v/>
      </c>
      <c r="F14" s="349" t="n">
        <v>0</v>
      </c>
      <c r="G14" s="349" t="n">
        <v>0</v>
      </c>
      <c r="H14" s="349" t="n">
        <v>0</v>
      </c>
      <c r="I14" s="349" t="n">
        <v>0</v>
      </c>
      <c r="J14" s="349" t="n">
        <v>0</v>
      </c>
      <c r="K14" s="363" t="n"/>
      <c r="L14" s="363" t="n"/>
      <c r="M14" s="363" t="n"/>
      <c r="N14" s="362">
        <f>SUM(E14:M14)</f>
        <v/>
      </c>
      <c r="O14" s="314" t="n"/>
    </row>
    <row r="15">
      <c r="D15" s="27" t="inlineStr">
        <is>
          <t>Comisión corredor</t>
        </is>
      </c>
      <c r="E15" s="349" t="n"/>
      <c r="F15" s="349">
        <f>'Flujo mensual'!P15</f>
        <v/>
      </c>
      <c r="G15" s="349" t="n">
        <v>0</v>
      </c>
      <c r="H15" s="349" t="n">
        <v>0</v>
      </c>
      <c r="I15" s="349" t="n">
        <v>0</v>
      </c>
      <c r="J15" s="349" t="n">
        <v>0</v>
      </c>
      <c r="K15" s="363" t="n"/>
      <c r="L15" s="363" t="n"/>
      <c r="M15" s="363" t="n"/>
      <c r="N15" s="362">
        <f>SUM(E15:M15)</f>
        <v/>
      </c>
      <c r="O15" s="314" t="n"/>
    </row>
    <row r="16">
      <c r="D16" s="27" t="inlineStr">
        <is>
          <t>Gasto común</t>
        </is>
      </c>
      <c r="E16" s="349" t="n"/>
      <c r="F16" s="349">
        <f>'Flujo mensual'!P16</f>
        <v/>
      </c>
      <c r="G16" s="349" t="n">
        <v>0</v>
      </c>
      <c r="H16" s="349" t="n">
        <v>0</v>
      </c>
      <c r="I16" s="349" t="n">
        <v>0</v>
      </c>
      <c r="J16" s="349" t="n">
        <v>0</v>
      </c>
      <c r="K16" s="363" t="n"/>
      <c r="L16" s="363" t="n"/>
      <c r="M16" s="363" t="n"/>
      <c r="N16" s="362">
        <f>SUM(E16:M16)</f>
        <v/>
      </c>
      <c r="O16" s="314" t="n"/>
    </row>
    <row r="17">
      <c r="D17" s="27" t="inlineStr">
        <is>
          <t>Administración</t>
        </is>
      </c>
      <c r="E17" s="349" t="n"/>
      <c r="F17" s="349">
        <f>'Flujo mensual'!P17</f>
        <v/>
      </c>
      <c r="G17" s="349">
        <f>'Flujo mensual'!$O$17*12*0.9</f>
        <v/>
      </c>
      <c r="H17" s="349">
        <f>'Flujo mensual'!$O$17*12*0.9</f>
        <v/>
      </c>
      <c r="I17" s="349">
        <f>'Flujo mensual'!$O$17*12*0.9</f>
        <v/>
      </c>
      <c r="J17" s="349">
        <f>'Flujo mensual'!$O$17*12*0.9</f>
        <v/>
      </c>
      <c r="K17" s="363" t="n"/>
      <c r="L17" s="363" t="n"/>
      <c r="M17" s="363" t="n"/>
      <c r="N17" s="362">
        <f>SUM(E17:M17)</f>
        <v/>
      </c>
      <c r="O17" s="314" t="n"/>
    </row>
    <row r="18">
      <c r="D18" s="27" t="inlineStr">
        <is>
          <t>Imprevistos</t>
        </is>
      </c>
      <c r="E18" s="349" t="n"/>
      <c r="F18" s="349">
        <f>'Flujo mensual'!$P$19</f>
        <v/>
      </c>
      <c r="G18" s="349">
        <f>'Flujo mensual'!$P$19</f>
        <v/>
      </c>
      <c r="H18" s="349">
        <f>'Flujo mensual'!$P$19</f>
        <v/>
      </c>
      <c r="I18" s="349">
        <f>'Flujo mensual'!$P$19</f>
        <v/>
      </c>
      <c r="J18" s="349">
        <f>'Flujo mensual'!$P$19</f>
        <v/>
      </c>
      <c r="K18" s="363" t="n"/>
      <c r="L18" s="363" t="n"/>
      <c r="M18" s="363" t="n"/>
      <c r="N18" s="362">
        <f>SUM(E18:M18)</f>
        <v/>
      </c>
      <c r="O18" s="314" t="n"/>
    </row>
    <row r="19">
      <c r="D19" s="27" t="inlineStr">
        <is>
          <t>Costo Financiero Cred. 1</t>
        </is>
      </c>
      <c r="E19" s="349" t="n"/>
      <c r="F19" s="349">
        <f>'Crédito C20'!O9</f>
        <v/>
      </c>
      <c r="G19" s="349">
        <f>'Crédito C20'!AA9</f>
        <v/>
      </c>
      <c r="H19" s="349">
        <f>'Crédito C20'!AM9</f>
        <v/>
      </c>
      <c r="I19" s="349">
        <f>'Crédito C20'!AY9</f>
        <v/>
      </c>
      <c r="J19" s="349">
        <f>'Crédito C20'!BK9</f>
        <v/>
      </c>
      <c r="K19" s="363" t="n"/>
      <c r="L19" s="363" t="n"/>
      <c r="M19" s="363" t="n"/>
      <c r="N19" s="362">
        <f>SUM(E19:M19)</f>
        <v/>
      </c>
      <c r="O19" s="314" t="n"/>
      <c r="R19" s="290" t="n"/>
    </row>
    <row r="20">
      <c r="D20" s="27" t="inlineStr">
        <is>
          <t>IVA</t>
        </is>
      </c>
      <c r="E20" s="349" t="n"/>
      <c r="F20" s="349">
        <f>'Flujo mensual'!P20</f>
        <v/>
      </c>
      <c r="G20" s="349">
        <f>'Flujo mensual'!$O$20*12</f>
        <v/>
      </c>
      <c r="H20" s="349">
        <f>'Flujo mensual'!$O$20*12</f>
        <v/>
      </c>
      <c r="I20" s="349">
        <f>'Flujo mensual'!$O$20*12</f>
        <v/>
      </c>
      <c r="J20" s="349">
        <f>'Flujo mensual'!$O$20*12</f>
        <v/>
      </c>
      <c r="K20" s="363" t="n"/>
      <c r="L20" s="363" t="n"/>
      <c r="M20" s="363" t="n"/>
      <c r="N20" s="362">
        <f>SUM(E20:M20)</f>
        <v/>
      </c>
      <c r="O20" s="314" t="n"/>
      <c r="R20" s="290" t="n"/>
    </row>
    <row r="21">
      <c r="D21" s="83" t="inlineStr">
        <is>
          <t>Impuesto / Utilidades (se venden al mismo precio)</t>
        </is>
      </c>
      <c r="E21" s="364" t="n"/>
      <c r="F21" s="364" t="n"/>
      <c r="G21" s="364" t="n"/>
      <c r="H21" s="364" t="n"/>
      <c r="I21" s="364" t="n"/>
      <c r="J21" s="364" t="n"/>
      <c r="K21" s="365" t="n">
        <v>0</v>
      </c>
      <c r="L21" s="365" t="n"/>
      <c r="M21" s="365" t="n"/>
      <c r="N21" s="366" t="n"/>
      <c r="O21" s="314" t="n"/>
      <c r="R21" s="290" t="n"/>
    </row>
    <row r="22">
      <c r="D22" s="80" t="inlineStr">
        <is>
          <t>Total Egresos</t>
        </is>
      </c>
      <c r="E22" s="367">
        <f>SUM(E10:E21)</f>
        <v/>
      </c>
      <c r="F22" s="367">
        <f>SUM(F10:F21)</f>
        <v/>
      </c>
      <c r="G22" s="367">
        <f>SUM(G10:G21)</f>
        <v/>
      </c>
      <c r="H22" s="367">
        <f>SUM(H10:H21)</f>
        <v/>
      </c>
      <c r="I22" s="367">
        <f>SUM(I10:I21)</f>
        <v/>
      </c>
      <c r="J22" s="367">
        <f>SUM(J10:J21)</f>
        <v/>
      </c>
      <c r="K22" s="367">
        <f>SUM(K10:K21)</f>
        <v/>
      </c>
      <c r="L22" s="367">
        <f>SUM(L10:L20)</f>
        <v/>
      </c>
      <c r="M22" s="367">
        <f>SUM(M10:M20)</f>
        <v/>
      </c>
      <c r="N22" s="368">
        <f>SUM(N10:N20)</f>
        <v/>
      </c>
      <c r="O22" s="314" t="n"/>
      <c r="P22" s="290" t="n"/>
    </row>
    <row r="23" ht="6" customHeight="1">
      <c r="D23" s="369" t="n"/>
      <c r="E23" s="369" t="n"/>
      <c r="F23" s="369" t="n"/>
      <c r="G23" s="369" t="n"/>
      <c r="H23" s="369" t="n"/>
      <c r="I23" s="369" t="n"/>
      <c r="J23" s="369" t="n"/>
      <c r="K23" s="369" t="n"/>
      <c r="L23" s="369" t="n"/>
      <c r="M23" s="369" t="n"/>
      <c r="N23" s="369" t="n"/>
      <c r="O23" s="370" t="n"/>
    </row>
    <row r="24">
      <c r="D24" s="36" t="inlineStr">
        <is>
          <t>Flujo Anual Proy. Puro (+ C.F.)</t>
        </is>
      </c>
      <c r="E24" s="371">
        <f>E7-E22</f>
        <v/>
      </c>
      <c r="F24" s="371">
        <f>F7-F22</f>
        <v/>
      </c>
      <c r="G24" s="371">
        <f>G7-G22</f>
        <v/>
      </c>
      <c r="H24" s="371">
        <f>H7-H22</f>
        <v/>
      </c>
      <c r="I24" s="371">
        <f>I7-I22</f>
        <v/>
      </c>
      <c r="J24" s="371">
        <f>J7-J22</f>
        <v/>
      </c>
      <c r="K24" s="371" t="n"/>
      <c r="L24" s="371">
        <f>L7-L22</f>
        <v/>
      </c>
      <c r="M24" s="371">
        <f>M7-M22</f>
        <v/>
      </c>
      <c r="N24" s="372">
        <f>SUM(E24:M24)</f>
        <v/>
      </c>
    </row>
    <row r="25">
      <c r="D25" s="36" t="inlineStr">
        <is>
          <t>Flujo acumulado</t>
        </is>
      </c>
      <c r="E25" s="373">
        <f>E24</f>
        <v/>
      </c>
      <c r="F25" s="373">
        <f>E25+F24</f>
        <v/>
      </c>
      <c r="G25" s="373">
        <f>F25+G24</f>
        <v/>
      </c>
      <c r="H25" s="373">
        <f>G25+H24</f>
        <v/>
      </c>
      <c r="I25" s="373">
        <f>H25+I24</f>
        <v/>
      </c>
      <c r="J25" s="373">
        <f>I25+J24</f>
        <v/>
      </c>
      <c r="K25" s="373" t="n"/>
      <c r="L25" s="373" t="n"/>
      <c r="M25" s="373" t="n"/>
      <c r="O25" s="361" t="n"/>
      <c r="P25" s="290" t="n"/>
    </row>
    <row r="26" ht="6" customHeight="1">
      <c r="D26" s="369" t="n"/>
      <c r="E26" s="369" t="n"/>
      <c r="F26" s="369" t="n"/>
      <c r="G26" s="369" t="n"/>
      <c r="H26" s="369" t="n"/>
      <c r="I26" s="369" t="n"/>
      <c r="J26" s="369" t="n"/>
      <c r="K26" s="369" t="n"/>
      <c r="L26" s="369" t="n"/>
      <c r="M26" s="369" t="n"/>
      <c r="N26" s="369" t="n"/>
      <c r="O26" s="370" t="n"/>
    </row>
    <row r="27">
      <c r="C27" s="290" t="n"/>
      <c r="D27" s="372" t="inlineStr">
        <is>
          <t>Saldo IVA</t>
        </is>
      </c>
      <c r="E27" s="374">
        <f>E4+E5-E20</f>
        <v/>
      </c>
      <c r="F27" s="374">
        <f>F4+F5-F20</f>
        <v/>
      </c>
      <c r="G27" s="374">
        <f>F27-G20</f>
        <v/>
      </c>
      <c r="H27" s="374">
        <f>G27-H20</f>
        <v/>
      </c>
      <c r="I27" s="374">
        <f>H27-I20</f>
        <v/>
      </c>
      <c r="J27" s="375">
        <f>I27-J20</f>
        <v/>
      </c>
      <c r="K27" s="375" t="n"/>
      <c r="L27" s="374" t="n"/>
      <c r="M27" s="374" t="n"/>
      <c r="N27" s="376" t="n"/>
    </row>
    <row r="28">
      <c r="D28" s="372" t="inlineStr">
        <is>
          <t>Prepago Crédito</t>
        </is>
      </c>
      <c r="E28" s="374" t="n"/>
      <c r="F28" s="374" t="n"/>
      <c r="G28" s="374" t="n"/>
      <c r="H28" s="374" t="n"/>
      <c r="I28" s="374" t="n"/>
      <c r="J28" s="375">
        <f>'Crédito Comercial 20A'!K67</f>
        <v/>
      </c>
      <c r="K28" s="377" t="n"/>
      <c r="L28" s="378" t="n"/>
      <c r="M28" s="378" t="n"/>
      <c r="N28" s="376" t="n"/>
      <c r="O28" s="370" t="n"/>
      <c r="P28" s="290" t="n"/>
      <c r="Q28" s="290" t="n"/>
    </row>
    <row r="29" ht="6" customHeight="1">
      <c r="D29" s="369" t="n"/>
      <c r="E29" s="369" t="n"/>
      <c r="F29" s="369" t="n"/>
      <c r="G29" s="369" t="n"/>
      <c r="H29" s="369" t="n"/>
      <c r="I29" s="369" t="n"/>
      <c r="J29" s="369" t="n"/>
      <c r="K29" s="369" t="n"/>
      <c r="L29" s="369" t="n"/>
      <c r="M29" s="369" t="n"/>
      <c r="N29" s="369" t="n"/>
      <c r="O29" s="370" t="n"/>
    </row>
    <row r="30">
      <c r="D30" s="24" t="inlineStr">
        <is>
          <t>Finaciamiento</t>
        </is>
      </c>
      <c r="E30" s="347" t="n">
        <v>1500</v>
      </c>
      <c r="F30" s="347" t="n"/>
      <c r="G30" s="347" t="n">
        <v>0</v>
      </c>
      <c r="H30" s="347" t="n">
        <v>1000</v>
      </c>
      <c r="I30" s="347" t="n">
        <v>2000</v>
      </c>
      <c r="J30" s="347" t="n"/>
      <c r="K30" s="356" t="n"/>
      <c r="L30" s="356" t="n"/>
      <c r="M30" s="356" t="n"/>
      <c r="N30" s="379">
        <f>SUM(E30:J30)</f>
        <v/>
      </c>
      <c r="O30" s="370" t="n"/>
      <c r="Q30" s="380" t="n"/>
    </row>
    <row r="31">
      <c r="D31" s="27" t="inlineStr">
        <is>
          <t>Dev. Financiamiento</t>
        </is>
      </c>
      <c r="E31" s="349" t="n"/>
      <c r="F31" s="349" t="n"/>
      <c r="G31" s="349" t="n"/>
      <c r="H31" s="349" t="n"/>
      <c r="L31" s="381">
        <f>-N30</f>
        <v/>
      </c>
      <c r="N31" s="382" t="n"/>
      <c r="O31" s="314" t="n"/>
      <c r="P31" s="383" t="n"/>
    </row>
    <row r="32">
      <c r="D32" s="31" t="inlineStr">
        <is>
          <t>Dividendo</t>
        </is>
      </c>
      <c r="E32" s="351" t="n"/>
      <c r="F32" s="351" t="n"/>
      <c r="G32" s="351" t="n"/>
      <c r="H32" s="351" t="n"/>
      <c r="I32" s="351" t="n"/>
      <c r="J32" s="384" t="n"/>
      <c r="K32" s="384" t="n"/>
      <c r="L32" s="384" t="n"/>
      <c r="M32" s="384">
        <f>-L36</f>
        <v/>
      </c>
      <c r="N32" s="385" t="n"/>
      <c r="O32" s="314" t="n"/>
      <c r="P32" s="383" t="n"/>
    </row>
    <row r="33">
      <c r="B33" s="131" t="n"/>
      <c r="D33" s="1" t="inlineStr">
        <is>
          <t>Flujo Financiamiento</t>
        </is>
      </c>
      <c r="E33" s="386">
        <f>SUM(E30:E32)</f>
        <v/>
      </c>
      <c r="F33" s="386">
        <f>SUM(F30:F32)</f>
        <v/>
      </c>
      <c r="G33" s="386">
        <f>SUM(G30:G32)</f>
        <v/>
      </c>
      <c r="H33" s="386">
        <f>SUM(H30:H32)</f>
        <v/>
      </c>
      <c r="I33" s="386">
        <f>SUM(I30:I32)</f>
        <v/>
      </c>
      <c r="J33" s="386">
        <f>SUM(J30:J32)</f>
        <v/>
      </c>
      <c r="K33" s="386" t="n"/>
      <c r="L33" s="386">
        <f>SUM(L30:L32)</f>
        <v/>
      </c>
      <c r="M33" s="386">
        <f>SUM(M30:M32)</f>
        <v/>
      </c>
      <c r="N33" s="386">
        <f>SUM(N30:N32)</f>
        <v/>
      </c>
      <c r="O33" s="314" t="n"/>
    </row>
    <row r="34">
      <c r="B34" s="154" t="n"/>
      <c r="E34" s="386" t="n"/>
      <c r="F34" s="386" t="n"/>
      <c r="G34" s="386" t="n"/>
      <c r="H34" s="386" t="n"/>
      <c r="I34" s="386" t="n"/>
      <c r="J34" s="386" t="n"/>
      <c r="K34" s="386" t="n"/>
      <c r="L34" s="386" t="n"/>
      <c r="M34" s="386" t="n"/>
      <c r="N34" s="314" t="n"/>
      <c r="O34" s="386" t="n"/>
    </row>
    <row r="35">
      <c r="B35" s="155" t="n"/>
      <c r="C35" s="290" t="n"/>
      <c r="D35" s="36" t="inlineStr">
        <is>
          <t>Flujo caja anual</t>
        </is>
      </c>
      <c r="E35" s="371">
        <f>+E25+E33</f>
        <v/>
      </c>
      <c r="F35" s="371">
        <f>+F24+F33</f>
        <v/>
      </c>
      <c r="G35" s="371">
        <f>+G24+G33</f>
        <v/>
      </c>
      <c r="H35" s="371">
        <f>+H24+H33</f>
        <v/>
      </c>
      <c r="I35" s="371">
        <f>+I24+I33</f>
        <v/>
      </c>
      <c r="J35" s="371">
        <f>+J24-J27-J28+J33</f>
        <v/>
      </c>
      <c r="K35" s="371" t="n"/>
      <c r="L35" s="371">
        <f>+L24+L33-L27-L28</f>
        <v/>
      </c>
      <c r="M35" s="371">
        <f>+M24+M33-M27-M28</f>
        <v/>
      </c>
      <c r="N35" s="372">
        <f>SUM(E35:M35)</f>
        <v/>
      </c>
      <c r="O35" s="314" t="n"/>
      <c r="P35" s="290" t="n"/>
    </row>
    <row r="36">
      <c r="B36" s="131" t="n"/>
      <c r="C36" s="290" t="n"/>
      <c r="D36" s="36" t="inlineStr">
        <is>
          <t>Flujo anual acumulado</t>
        </is>
      </c>
      <c r="E36" s="373">
        <f>+E35</f>
        <v/>
      </c>
      <c r="F36" s="373">
        <f>+F35+E36</f>
        <v/>
      </c>
      <c r="G36" s="373">
        <f>+G35+F36</f>
        <v/>
      </c>
      <c r="H36" s="373">
        <f>+H35+G36</f>
        <v/>
      </c>
      <c r="I36" s="373">
        <f>+I35+H36</f>
        <v/>
      </c>
      <c r="J36" s="373">
        <f>+J35+I36</f>
        <v/>
      </c>
      <c r="K36" s="373" t="n"/>
      <c r="L36" s="373">
        <f>+L35+J36</f>
        <v/>
      </c>
      <c r="M36" s="373">
        <f>+M35+L36</f>
        <v/>
      </c>
      <c r="O36" s="361" t="n"/>
    </row>
    <row r="37">
      <c r="B37" s="131" t="n"/>
      <c r="C37" s="290" t="n"/>
      <c r="P37" s="290" t="n"/>
      <c r="Q37" s="290" t="n"/>
      <c r="R37" s="290" t="n"/>
    </row>
    <row r="38">
      <c r="D38" s="372" t="inlineStr">
        <is>
          <t>Saldo final Dividendo</t>
        </is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  <c r="M38" s="387">
        <f>+J25-J27-J28</f>
        <v/>
      </c>
      <c r="N38" s="376" t="n"/>
    </row>
    <row r="39">
      <c r="O39" s="370" t="n"/>
      <c r="P39" s="290" t="n"/>
    </row>
    <row r="46">
      <c r="G46" s="97" t="n"/>
    </row>
    <row r="47">
      <c r="G47" s="284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B2:M368"/>
  <sheetViews>
    <sheetView workbookViewId="0">
      <selection activeCell="A1" sqref="A1"/>
    </sheetView>
  </sheetViews>
  <sheetFormatPr baseColWidth="10" defaultRowHeight="14.4"/>
  <cols>
    <col width="3.21875" customWidth="1" min="1" max="1"/>
    <col width="19.33203125" bestFit="1" customWidth="1" min="2" max="2"/>
    <col width="5.5546875" bestFit="1" customWidth="1" min="3" max="3"/>
    <col width="3.5546875" customWidth="1" min="6" max="6"/>
    <col width="9.5546875" bestFit="1" customWidth="1" min="8" max="8"/>
    <col width="9.109375" bestFit="1" customWidth="1" min="9" max="9"/>
    <col width="9.5546875" bestFit="1" customWidth="1" min="10" max="10"/>
    <col width="11.5546875" bestFit="1" customWidth="1" min="11" max="11"/>
    <col width="14.109375" bestFit="1" customWidth="1" min="13" max="13"/>
  </cols>
  <sheetData>
    <row r="2">
      <c r="B2" t="inlineStr">
        <is>
          <t>Venta Total (sin descuento)</t>
        </is>
      </c>
      <c r="D2" s="312">
        <f>'IVA Dptos'!AD23</f>
        <v/>
      </c>
      <c r="E2" s="109" t="n"/>
      <c r="F2" s="284" t="n"/>
    </row>
    <row r="3">
      <c r="B3" t="inlineStr">
        <is>
          <t>Dcto</t>
        </is>
      </c>
      <c r="C3" t="n">
        <v>0.28</v>
      </c>
      <c r="D3" s="312">
        <f>D2-D2*C3</f>
        <v/>
      </c>
      <c r="M3" s="312" t="n"/>
    </row>
    <row r="4">
      <c r="B4" t="inlineStr">
        <is>
          <t>Crédito UF LTV - 75%</t>
        </is>
      </c>
      <c r="D4" s="284">
        <f>D3</f>
        <v/>
      </c>
    </row>
    <row r="5">
      <c r="B5" t="inlineStr">
        <is>
          <t>Tasa anual UF</t>
        </is>
      </c>
      <c r="D5" s="16" t="n">
        <v>0.05</v>
      </c>
    </row>
    <row r="6" ht="15" customHeight="1" thickBot="1">
      <c r="B6" t="inlineStr">
        <is>
          <t>Tasa mensual</t>
        </is>
      </c>
      <c r="D6" s="16">
        <f>D5/12</f>
        <v/>
      </c>
      <c r="G6" s="21" t="inlineStr">
        <is>
          <t>Período</t>
        </is>
      </c>
      <c r="H6" s="21" t="inlineStr">
        <is>
          <t>Cuota</t>
        </is>
      </c>
      <c r="I6" s="21" t="inlineStr">
        <is>
          <t>Interés</t>
        </is>
      </c>
      <c r="J6" s="21" t="inlineStr">
        <is>
          <t>Capital</t>
        </is>
      </c>
      <c r="K6" s="21" t="inlineStr">
        <is>
          <t>S. Insoluto</t>
        </is>
      </c>
    </row>
    <row r="7">
      <c r="B7" s="112" t="inlineStr">
        <is>
          <t>Períodos</t>
        </is>
      </c>
      <c r="C7" s="112" t="n"/>
      <c r="D7" s="112">
        <f>20*12</f>
        <v/>
      </c>
      <c r="G7" s="149" t="n">
        <v>0</v>
      </c>
      <c r="H7" s="149" t="n">
        <v>0</v>
      </c>
      <c r="I7" s="149" t="n">
        <v>0</v>
      </c>
      <c r="J7" s="149" t="n">
        <v>0</v>
      </c>
      <c r="K7" s="424">
        <f>D4</f>
        <v/>
      </c>
    </row>
    <row r="8">
      <c r="B8" s="112" t="n"/>
      <c r="C8" s="112" t="n"/>
      <c r="D8" s="112">
        <f>D7/12</f>
        <v/>
      </c>
      <c r="G8" s="149">
        <f>G7+1</f>
        <v/>
      </c>
      <c r="H8" s="425">
        <f>PMT($D$6,$D$7,$D$4)</f>
        <v/>
      </c>
      <c r="I8" s="152">
        <f>-K7*$D$6</f>
        <v/>
      </c>
      <c r="J8" s="426">
        <f>H8-I8</f>
        <v/>
      </c>
      <c r="K8" s="426">
        <f>K7+J8</f>
        <v/>
      </c>
    </row>
    <row r="9">
      <c r="G9" s="149">
        <f>G8+1</f>
        <v/>
      </c>
      <c r="H9" s="425">
        <f>PMT($D$5/12,$D$7,$D$4)</f>
        <v/>
      </c>
      <c r="I9" s="152">
        <f>-K8*$D$6</f>
        <v/>
      </c>
      <c r="J9" s="426">
        <f>H9-I9</f>
        <v/>
      </c>
      <c r="K9" s="426">
        <f>K8+J9</f>
        <v/>
      </c>
    </row>
    <row r="10">
      <c r="B10" t="inlineStr">
        <is>
          <t>Cuota de alzamiento</t>
        </is>
      </c>
      <c r="D10" s="312" t="n">
        <v>0</v>
      </c>
      <c r="G10" s="149">
        <f>G9+1</f>
        <v/>
      </c>
      <c r="H10" s="425">
        <f>PMT($D$5/12,$D$7,$D$4)</f>
        <v/>
      </c>
      <c r="I10" s="152">
        <f>-K9*$D$6</f>
        <v/>
      </c>
      <c r="J10" s="426">
        <f>H10-I10</f>
        <v/>
      </c>
      <c r="K10" s="426">
        <f>K9+J10</f>
        <v/>
      </c>
    </row>
    <row r="11">
      <c r="G11" s="149">
        <f>G10+1</f>
        <v/>
      </c>
      <c r="H11" s="425">
        <f>PMT($D$5/12,$D$7,$D$4)</f>
        <v/>
      </c>
      <c r="I11" s="152">
        <f>-K10*$D$6</f>
        <v/>
      </c>
      <c r="J11" s="426">
        <f>H11-I11</f>
        <v/>
      </c>
      <c r="K11" s="426">
        <f>K10+J11</f>
        <v/>
      </c>
    </row>
    <row r="12">
      <c r="G12" s="149">
        <f>G11+1</f>
        <v/>
      </c>
      <c r="H12" s="425">
        <f>PMT($D$5/12,$D$7,$D$4)</f>
        <v/>
      </c>
      <c r="I12" s="152">
        <f>-K11*$D$6</f>
        <v/>
      </c>
      <c r="J12" s="426">
        <f>H12-I12</f>
        <v/>
      </c>
      <c r="K12" s="426">
        <f>K11+J12</f>
        <v/>
      </c>
    </row>
    <row r="13">
      <c r="G13" s="149">
        <f>G12+1</f>
        <v/>
      </c>
      <c r="H13" s="425">
        <f>PMT($D$5/12,$D$7,$D$4)</f>
        <v/>
      </c>
      <c r="I13" s="152">
        <f>-K12*$D$6</f>
        <v/>
      </c>
      <c r="J13" s="426">
        <f>H13-I13</f>
        <v/>
      </c>
      <c r="K13" s="426">
        <f>K12+J13</f>
        <v/>
      </c>
    </row>
    <row r="14">
      <c r="G14" s="149">
        <f>G13+1</f>
        <v/>
      </c>
      <c r="H14" s="425">
        <f>PMT($D$5/12,$D$7,$D$4)</f>
        <v/>
      </c>
      <c r="I14" s="152">
        <f>-K13*$D$6</f>
        <v/>
      </c>
      <c r="J14" s="426">
        <f>H14-I14</f>
        <v/>
      </c>
      <c r="K14" s="426">
        <f>K13+J14</f>
        <v/>
      </c>
      <c r="M14" s="290" t="n"/>
    </row>
    <row r="15">
      <c r="G15" s="149">
        <f>G14+1</f>
        <v/>
      </c>
      <c r="H15" s="425">
        <f>PMT($D$5/12,$D$7,$D$4)</f>
        <v/>
      </c>
      <c r="I15" s="152">
        <f>-K14*$D$6</f>
        <v/>
      </c>
      <c r="J15" s="426">
        <f>H15-I15</f>
        <v/>
      </c>
      <c r="K15" s="426">
        <f>K14+J15</f>
        <v/>
      </c>
    </row>
    <row r="16">
      <c r="G16" s="149">
        <f>G15+1</f>
        <v/>
      </c>
      <c r="H16" s="425">
        <f>PMT($D$5/12,$D$7,$D$4)</f>
        <v/>
      </c>
      <c r="I16" s="152">
        <f>-K15*$D$6</f>
        <v/>
      </c>
      <c r="J16" s="426">
        <f>H16-I16</f>
        <v/>
      </c>
      <c r="K16" s="426">
        <f>K15+J16</f>
        <v/>
      </c>
    </row>
    <row r="17">
      <c r="G17" s="149">
        <f>G16+1</f>
        <v/>
      </c>
      <c r="H17" s="425">
        <f>PMT($D$5/12,$D$7,$D$4)</f>
        <v/>
      </c>
      <c r="I17" s="152">
        <f>-K16*$D$6</f>
        <v/>
      </c>
      <c r="J17" s="426">
        <f>H17-I17</f>
        <v/>
      </c>
      <c r="K17" s="426">
        <f>K16+J17</f>
        <v/>
      </c>
    </row>
    <row r="18">
      <c r="G18" s="149">
        <f>G17+1</f>
        <v/>
      </c>
      <c r="H18" s="425">
        <f>PMT($D$5/12,$D$7,$D$4)</f>
        <v/>
      </c>
      <c r="I18" s="152">
        <f>-K17*$D$6</f>
        <v/>
      </c>
      <c r="J18" s="426">
        <f>H18-I18</f>
        <v/>
      </c>
      <c r="K18" s="426">
        <f>K17+J18</f>
        <v/>
      </c>
    </row>
    <row r="19">
      <c r="G19" s="149">
        <f>G18+1</f>
        <v/>
      </c>
      <c r="H19" s="425">
        <f>PMT($D$5/12,$D$7,$D$4)</f>
        <v/>
      </c>
      <c r="I19" s="152">
        <f>-K18*$D$6</f>
        <v/>
      </c>
      <c r="J19" s="426">
        <f>H19-I19</f>
        <v/>
      </c>
      <c r="K19" s="426">
        <f>K18+J19</f>
        <v/>
      </c>
    </row>
    <row r="20">
      <c r="G20" s="149">
        <f>G19+1</f>
        <v/>
      </c>
      <c r="H20" s="425">
        <f>PMT($D$5/12,$D$7,$D$4)</f>
        <v/>
      </c>
      <c r="I20" s="152">
        <f>-K19*$D$6</f>
        <v/>
      </c>
      <c r="J20" s="426">
        <f>H20-I20</f>
        <v/>
      </c>
      <c r="K20" s="426">
        <f>K19+J20</f>
        <v/>
      </c>
    </row>
    <row r="21">
      <c r="G21" s="149">
        <f>G20+1</f>
        <v/>
      </c>
      <c r="H21" s="425">
        <f>PMT($D$5/12,$D$7,$D$4)</f>
        <v/>
      </c>
      <c r="I21" s="152">
        <f>-K20*$D$6</f>
        <v/>
      </c>
      <c r="J21" s="426">
        <f>H21-I21</f>
        <v/>
      </c>
      <c r="K21" s="426">
        <f>K20+J21</f>
        <v/>
      </c>
    </row>
    <row r="22">
      <c r="G22" s="149">
        <f>G21+1</f>
        <v/>
      </c>
      <c r="H22" s="425">
        <f>PMT($D$5/12,$D$7,$D$4)</f>
        <v/>
      </c>
      <c r="I22" s="152">
        <f>-K21*$D$6</f>
        <v/>
      </c>
      <c r="J22" s="426">
        <f>H22-I22</f>
        <v/>
      </c>
      <c r="K22" s="426">
        <f>K21+J22</f>
        <v/>
      </c>
    </row>
    <row r="23">
      <c r="E23" s="290">
        <f>H17*10</f>
        <v/>
      </c>
      <c r="G23" s="149">
        <f>G22+1</f>
        <v/>
      </c>
      <c r="H23" s="425">
        <f>PMT($D$5/12,$D$7,$D$4)</f>
        <v/>
      </c>
      <c r="I23" s="152">
        <f>-K22*$D$6</f>
        <v/>
      </c>
      <c r="J23" s="426">
        <f>H23-I23</f>
        <v/>
      </c>
      <c r="K23" s="426">
        <f>K22+J23</f>
        <v/>
      </c>
    </row>
    <row r="24">
      <c r="G24" s="149">
        <f>G23+1</f>
        <v/>
      </c>
      <c r="H24" s="425">
        <f>PMT($D$5/12,$D$7,$D$4)</f>
        <v/>
      </c>
      <c r="I24" s="152">
        <f>-K23*$D$6</f>
        <v/>
      </c>
      <c r="J24" s="426">
        <f>H24-I24</f>
        <v/>
      </c>
      <c r="K24" s="426">
        <f>K23+J24</f>
        <v/>
      </c>
    </row>
    <row r="25">
      <c r="G25" s="149">
        <f>G24+1</f>
        <v/>
      </c>
      <c r="H25" s="425">
        <f>PMT($D$5/12,$D$7,$D$4)</f>
        <v/>
      </c>
      <c r="I25" s="152">
        <f>-K24*$D$6</f>
        <v/>
      </c>
      <c r="J25" s="426">
        <f>H25-I25</f>
        <v/>
      </c>
      <c r="K25" s="426">
        <f>K24+J25</f>
        <v/>
      </c>
    </row>
    <row r="26">
      <c r="G26" s="149">
        <f>G25+1</f>
        <v/>
      </c>
      <c r="H26" s="425">
        <f>PMT($D$5/12,$D$7,$D$4)</f>
        <v/>
      </c>
      <c r="I26" s="152">
        <f>-K25*$D$6</f>
        <v/>
      </c>
      <c r="J26" s="426">
        <f>H26-I26</f>
        <v/>
      </c>
      <c r="K26" s="426">
        <f>K25+J26</f>
        <v/>
      </c>
    </row>
    <row r="27">
      <c r="G27" s="149">
        <f>G26+1</f>
        <v/>
      </c>
      <c r="H27" s="425">
        <f>PMT($D$5/12,$D$7,$D$4)</f>
        <v/>
      </c>
      <c r="I27" s="152">
        <f>-K26*$D$6</f>
        <v/>
      </c>
      <c r="J27" s="426">
        <f>H27-I27</f>
        <v/>
      </c>
      <c r="K27" s="426">
        <f>K26+J27</f>
        <v/>
      </c>
    </row>
    <row r="28">
      <c r="G28" s="149">
        <f>G27+1</f>
        <v/>
      </c>
      <c r="H28" s="425">
        <f>PMT($D$5/12,$D$7,$D$4)</f>
        <v/>
      </c>
      <c r="I28" s="152">
        <f>-K27*$D$6</f>
        <v/>
      </c>
      <c r="J28" s="426">
        <f>H28-I28</f>
        <v/>
      </c>
      <c r="K28" s="426">
        <f>K27+J28</f>
        <v/>
      </c>
    </row>
    <row r="29">
      <c r="G29" s="149">
        <f>G28+1</f>
        <v/>
      </c>
      <c r="H29" s="425">
        <f>PMT($D$5/12,$D$7,$D$4)</f>
        <v/>
      </c>
      <c r="I29" s="152">
        <f>-K28*$D$6</f>
        <v/>
      </c>
      <c r="J29" s="426">
        <f>H29-I29</f>
        <v/>
      </c>
      <c r="K29" s="426">
        <f>K28+J29</f>
        <v/>
      </c>
    </row>
    <row r="30">
      <c r="G30" s="149">
        <f>G29+1</f>
        <v/>
      </c>
      <c r="H30" s="425">
        <f>PMT($D$5/12,$D$7,$D$4)</f>
        <v/>
      </c>
      <c r="I30" s="152">
        <f>-K29*$D$6</f>
        <v/>
      </c>
      <c r="J30" s="426">
        <f>H30-I30</f>
        <v/>
      </c>
      <c r="K30" s="426">
        <f>K29+J30</f>
        <v/>
      </c>
    </row>
    <row r="31">
      <c r="G31" s="149">
        <f>G30+1</f>
        <v/>
      </c>
      <c r="H31" s="425">
        <f>PMT($D$5/12,$D$7,$D$4)</f>
        <v/>
      </c>
      <c r="I31" s="152">
        <f>-K30*$D$6</f>
        <v/>
      </c>
      <c r="J31" s="426">
        <f>H31-I31</f>
        <v/>
      </c>
      <c r="K31" s="426">
        <f>K30+J31</f>
        <v/>
      </c>
    </row>
    <row r="32">
      <c r="G32" s="149">
        <f>G31+1</f>
        <v/>
      </c>
      <c r="H32" s="425">
        <f>PMT($D$5/12,$D$7,$D$4)</f>
        <v/>
      </c>
      <c r="I32" s="152">
        <f>-K31*$D$6</f>
        <v/>
      </c>
      <c r="J32" s="426">
        <f>H32-I32</f>
        <v/>
      </c>
      <c r="K32" s="426">
        <f>K31+J32</f>
        <v/>
      </c>
    </row>
    <row r="33">
      <c r="G33" s="149">
        <f>G32+1</f>
        <v/>
      </c>
      <c r="H33" s="425">
        <f>PMT($D$5/12,$D$7,$D$4)</f>
        <v/>
      </c>
      <c r="I33" s="152">
        <f>-K32*$D$6</f>
        <v/>
      </c>
      <c r="J33" s="426">
        <f>H33-I33</f>
        <v/>
      </c>
      <c r="K33" s="426">
        <f>K32+J33</f>
        <v/>
      </c>
    </row>
    <row r="34">
      <c r="G34" s="149">
        <f>G33+1</f>
        <v/>
      </c>
      <c r="H34" s="425">
        <f>PMT($D$5/12,$D$7,$D$4)</f>
        <v/>
      </c>
      <c r="I34" s="152">
        <f>-K33*$D$6</f>
        <v/>
      </c>
      <c r="J34" s="426">
        <f>H34-I34</f>
        <v/>
      </c>
      <c r="K34" s="426">
        <f>K33+J34</f>
        <v/>
      </c>
    </row>
    <row r="35">
      <c r="G35" s="149">
        <f>G34+1</f>
        <v/>
      </c>
      <c r="H35" s="425">
        <f>PMT($D$5/12,$D$7,$D$4)</f>
        <v/>
      </c>
      <c r="I35" s="152">
        <f>-K34*$D$6</f>
        <v/>
      </c>
      <c r="J35" s="426">
        <f>H35-I35</f>
        <v/>
      </c>
      <c r="K35" s="426">
        <f>K34+J35</f>
        <v/>
      </c>
    </row>
    <row r="36">
      <c r="G36" s="149">
        <f>G35+1</f>
        <v/>
      </c>
      <c r="H36" s="425">
        <f>PMT($D$5/12,$D$7,$D$4)</f>
        <v/>
      </c>
      <c r="I36" s="152">
        <f>-K35*$D$6</f>
        <v/>
      </c>
      <c r="J36" s="426">
        <f>H36-I36</f>
        <v/>
      </c>
      <c r="K36" s="426">
        <f>K35+J36</f>
        <v/>
      </c>
    </row>
    <row r="37">
      <c r="G37" s="149">
        <f>G36+1</f>
        <v/>
      </c>
      <c r="H37" s="425">
        <f>PMT($D$5/12,$D$7,$D$4)</f>
        <v/>
      </c>
      <c r="I37" s="152">
        <f>-K36*$D$6</f>
        <v/>
      </c>
      <c r="J37" s="426">
        <f>H37-I37</f>
        <v/>
      </c>
      <c r="K37" s="426">
        <f>K36+J37</f>
        <v/>
      </c>
    </row>
    <row r="38">
      <c r="G38" s="149">
        <f>G37+1</f>
        <v/>
      </c>
      <c r="H38" s="425">
        <f>PMT($D$5/12,$D$7,$D$4)</f>
        <v/>
      </c>
      <c r="I38" s="152">
        <f>-K37*$D$6</f>
        <v/>
      </c>
      <c r="J38" s="426">
        <f>H38-I38</f>
        <v/>
      </c>
      <c r="K38" s="426">
        <f>K37+J38</f>
        <v/>
      </c>
    </row>
    <row r="39">
      <c r="G39" s="149">
        <f>G38+1</f>
        <v/>
      </c>
      <c r="H39" s="425">
        <f>PMT($D$5/12,$D$7,$D$4)</f>
        <v/>
      </c>
      <c r="I39" s="152">
        <f>-K38*$D$6</f>
        <v/>
      </c>
      <c r="J39" s="426">
        <f>H39-I39</f>
        <v/>
      </c>
      <c r="K39" s="426">
        <f>K38+J39</f>
        <v/>
      </c>
    </row>
    <row r="40">
      <c r="G40" s="149">
        <f>G39+1</f>
        <v/>
      </c>
      <c r="H40" s="425">
        <f>PMT($D$5/12,$D$7,$D$4)</f>
        <v/>
      </c>
      <c r="I40" s="152">
        <f>-K39*$D$6</f>
        <v/>
      </c>
      <c r="J40" s="426">
        <f>H40-I40</f>
        <v/>
      </c>
      <c r="K40" s="426">
        <f>K39+J40</f>
        <v/>
      </c>
    </row>
    <row r="41">
      <c r="G41" s="149">
        <f>G40+1</f>
        <v/>
      </c>
      <c r="H41" s="425">
        <f>PMT($D$5/12,$D$7,$D$4)</f>
        <v/>
      </c>
      <c r="I41" s="152">
        <f>-K40*$D$6</f>
        <v/>
      </c>
      <c r="J41" s="426">
        <f>H41-I41</f>
        <v/>
      </c>
      <c r="K41" s="426">
        <f>K40+J41</f>
        <v/>
      </c>
    </row>
    <row r="42">
      <c r="G42" s="149">
        <f>G41+1</f>
        <v/>
      </c>
      <c r="H42" s="425">
        <f>PMT($D$5/12,$D$7,$D$4)</f>
        <v/>
      </c>
      <c r="I42" s="152">
        <f>-K41*$D$6</f>
        <v/>
      </c>
      <c r="J42" s="426">
        <f>H42-I42</f>
        <v/>
      </c>
      <c r="K42" s="426">
        <f>K41+J42</f>
        <v/>
      </c>
    </row>
    <row r="43">
      <c r="G43" s="149">
        <f>G42+1</f>
        <v/>
      </c>
      <c r="H43" s="425">
        <f>PMT($D$5/12,$D$7,$D$4)</f>
        <v/>
      </c>
      <c r="I43" s="152">
        <f>-K42*$D$6</f>
        <v/>
      </c>
      <c r="J43" s="426">
        <f>H43-I43</f>
        <v/>
      </c>
      <c r="K43" s="426">
        <f>K42+J43</f>
        <v/>
      </c>
    </row>
    <row r="44">
      <c r="G44" s="149">
        <f>G43+1</f>
        <v/>
      </c>
      <c r="H44" s="425">
        <f>PMT($D$5/12,$D$7,$D$4)</f>
        <v/>
      </c>
      <c r="I44" s="152">
        <f>-K43*$D$6</f>
        <v/>
      </c>
      <c r="J44" s="426">
        <f>H44-I44</f>
        <v/>
      </c>
      <c r="K44" s="426">
        <f>K43+J44</f>
        <v/>
      </c>
    </row>
    <row r="45">
      <c r="G45" s="149">
        <f>G44+1</f>
        <v/>
      </c>
      <c r="H45" s="425">
        <f>PMT($D$5/12,$D$7,$D$4)</f>
        <v/>
      </c>
      <c r="I45" s="152">
        <f>-K44*$D$6</f>
        <v/>
      </c>
      <c r="J45" s="426">
        <f>H45-I45</f>
        <v/>
      </c>
      <c r="K45" s="426">
        <f>K44+J45</f>
        <v/>
      </c>
    </row>
    <row r="46">
      <c r="G46" s="149">
        <f>G45+1</f>
        <v/>
      </c>
      <c r="H46" s="425">
        <f>PMT($D$5/12,$D$7,$D$4)</f>
        <v/>
      </c>
      <c r="I46" s="152">
        <f>-K45*$D$6</f>
        <v/>
      </c>
      <c r="J46" s="426">
        <f>H46-I46</f>
        <v/>
      </c>
      <c r="K46" s="426">
        <f>K45+J46</f>
        <v/>
      </c>
    </row>
    <row r="47">
      <c r="G47" s="149">
        <f>G46+1</f>
        <v/>
      </c>
      <c r="H47" s="425">
        <f>PMT($D$5/12,$D$7,$D$4)</f>
        <v/>
      </c>
      <c r="I47" s="152">
        <f>-K46*$D$6</f>
        <v/>
      </c>
      <c r="J47" s="426">
        <f>H47-I47</f>
        <v/>
      </c>
      <c r="K47" s="426">
        <f>K46+J47</f>
        <v/>
      </c>
    </row>
    <row r="48">
      <c r="G48" s="149">
        <f>G47+1</f>
        <v/>
      </c>
      <c r="H48" s="425">
        <f>PMT($D$5/12,$D$7,$D$4)</f>
        <v/>
      </c>
      <c r="I48" s="152">
        <f>-K47*$D$6</f>
        <v/>
      </c>
      <c r="J48" s="426">
        <f>H48-I48</f>
        <v/>
      </c>
      <c r="K48" s="426">
        <f>K47+J48</f>
        <v/>
      </c>
    </row>
    <row r="49">
      <c r="G49" s="149">
        <f>G48+1</f>
        <v/>
      </c>
      <c r="H49" s="425">
        <f>PMT($D$5/12,$D$7,$D$4)</f>
        <v/>
      </c>
      <c r="I49" s="152">
        <f>-K48*$D$6</f>
        <v/>
      </c>
      <c r="J49" s="426">
        <f>H49-I49</f>
        <v/>
      </c>
      <c r="K49" s="426">
        <f>K48+J49</f>
        <v/>
      </c>
    </row>
    <row r="50">
      <c r="G50" s="149">
        <f>G49+1</f>
        <v/>
      </c>
      <c r="H50" s="425">
        <f>PMT($D$5/12,$D$7,$D$4)</f>
        <v/>
      </c>
      <c r="I50" s="152">
        <f>-K49*$D$6</f>
        <v/>
      </c>
      <c r="J50" s="426">
        <f>H50-I50</f>
        <v/>
      </c>
      <c r="K50" s="426">
        <f>K49+J50</f>
        <v/>
      </c>
    </row>
    <row r="51">
      <c r="G51" s="149">
        <f>G50+1</f>
        <v/>
      </c>
      <c r="H51" s="425">
        <f>PMT($D$5/12,$D$7,$D$4)</f>
        <v/>
      </c>
      <c r="I51" s="152">
        <f>-K50*$D$6</f>
        <v/>
      </c>
      <c r="J51" s="426">
        <f>H51-I51</f>
        <v/>
      </c>
      <c r="K51" s="426">
        <f>K50+J51</f>
        <v/>
      </c>
    </row>
    <row r="52">
      <c r="G52" s="149">
        <f>G51+1</f>
        <v/>
      </c>
      <c r="H52" s="425">
        <f>PMT($D$5/12,$D$7,$D$4)</f>
        <v/>
      </c>
      <c r="I52" s="152">
        <f>-K51*$D$6</f>
        <v/>
      </c>
      <c r="J52" s="426">
        <f>H52-I52</f>
        <v/>
      </c>
      <c r="K52" s="426">
        <f>K51+J52</f>
        <v/>
      </c>
    </row>
    <row r="53">
      <c r="G53" s="149">
        <f>G52+1</f>
        <v/>
      </c>
      <c r="H53" s="425">
        <f>PMT($D$5/12,$D$7,$D$4)</f>
        <v/>
      </c>
      <c r="I53" s="152">
        <f>-K52*$D$6</f>
        <v/>
      </c>
      <c r="J53" s="426">
        <f>H53-I53</f>
        <v/>
      </c>
      <c r="K53" s="426">
        <f>K52+J53</f>
        <v/>
      </c>
    </row>
    <row r="54">
      <c r="G54" s="149">
        <f>G53+1</f>
        <v/>
      </c>
      <c r="H54" s="425">
        <f>PMT($D$5/12,$D$7,$D$4)</f>
        <v/>
      </c>
      <c r="I54" s="152">
        <f>-K53*$D$6</f>
        <v/>
      </c>
      <c r="J54" s="426">
        <f>H54-I54</f>
        <v/>
      </c>
      <c r="K54" s="426">
        <f>K53+J54</f>
        <v/>
      </c>
    </row>
    <row r="55">
      <c r="G55" s="149">
        <f>G54+1</f>
        <v/>
      </c>
      <c r="H55" s="425">
        <f>PMT($D$5/12,$D$7,$D$4)</f>
        <v/>
      </c>
      <c r="I55" s="152">
        <f>-K54*$D$6</f>
        <v/>
      </c>
      <c r="J55" s="426">
        <f>H55-I55</f>
        <v/>
      </c>
      <c r="K55" s="426">
        <f>K54+J55</f>
        <v/>
      </c>
    </row>
    <row r="56">
      <c r="G56" s="149">
        <f>G55+1</f>
        <v/>
      </c>
      <c r="H56" s="425">
        <f>PMT($D$5/12,$D$7,$D$4)</f>
        <v/>
      </c>
      <c r="I56" s="152">
        <f>-K55*$D$6</f>
        <v/>
      </c>
      <c r="J56" s="426">
        <f>H56-I56</f>
        <v/>
      </c>
      <c r="K56" s="426">
        <f>K55+J56</f>
        <v/>
      </c>
    </row>
    <row r="57">
      <c r="G57" s="149">
        <f>G56+1</f>
        <v/>
      </c>
      <c r="H57" s="425">
        <f>PMT($D$5/12,$D$7,$D$4)</f>
        <v/>
      </c>
      <c r="I57" s="152">
        <f>-K56*$D$6</f>
        <v/>
      </c>
      <c r="J57" s="426">
        <f>H57-I57</f>
        <v/>
      </c>
      <c r="K57" s="426">
        <f>K56+J57</f>
        <v/>
      </c>
    </row>
    <row r="58">
      <c r="G58" s="149">
        <f>G57+1</f>
        <v/>
      </c>
      <c r="H58" s="425">
        <f>PMT($D$5/12,$D$7,$D$4)</f>
        <v/>
      </c>
      <c r="I58" s="152">
        <f>-K57*$D$6</f>
        <v/>
      </c>
      <c r="J58" s="426">
        <f>H58-I58</f>
        <v/>
      </c>
      <c r="K58" s="426">
        <f>K57+J58</f>
        <v/>
      </c>
    </row>
    <row r="59">
      <c r="G59" s="149">
        <f>G58+1</f>
        <v/>
      </c>
      <c r="H59" s="425">
        <f>PMT($D$5/12,$D$7,$D$4)</f>
        <v/>
      </c>
      <c r="I59" s="152">
        <f>-K58*$D$6</f>
        <v/>
      </c>
      <c r="J59" s="426">
        <f>H59-I59</f>
        <v/>
      </c>
      <c r="K59" s="426">
        <f>K58+J59</f>
        <v/>
      </c>
    </row>
    <row r="60">
      <c r="G60" s="149">
        <f>G59+1</f>
        <v/>
      </c>
      <c r="H60" s="425">
        <f>PMT($D$5/12,$D$7,$D$4)</f>
        <v/>
      </c>
      <c r="I60" s="152">
        <f>-K59*$D$6</f>
        <v/>
      </c>
      <c r="J60" s="426">
        <f>H60-I60</f>
        <v/>
      </c>
      <c r="K60" s="426">
        <f>K59+J60</f>
        <v/>
      </c>
    </row>
    <row r="61">
      <c r="G61" s="149">
        <f>G60+1</f>
        <v/>
      </c>
      <c r="H61" s="425">
        <f>PMT($D$5/12,$D$7,$D$4)</f>
        <v/>
      </c>
      <c r="I61" s="152">
        <f>-K60*$D$6</f>
        <v/>
      </c>
      <c r="J61" s="426">
        <f>H61-I61</f>
        <v/>
      </c>
      <c r="K61" s="426">
        <f>K60+J61</f>
        <v/>
      </c>
    </row>
    <row r="62">
      <c r="G62" s="149">
        <f>G61+1</f>
        <v/>
      </c>
      <c r="H62" s="425">
        <f>PMT($D$5/12,$D$7,$D$4)</f>
        <v/>
      </c>
      <c r="I62" s="152">
        <f>-K61*$D$6</f>
        <v/>
      </c>
      <c r="J62" s="426">
        <f>H62-I62</f>
        <v/>
      </c>
      <c r="K62" s="426">
        <f>K61+J62</f>
        <v/>
      </c>
    </row>
    <row r="63">
      <c r="G63" s="149">
        <f>G62+1</f>
        <v/>
      </c>
      <c r="H63" s="425">
        <f>PMT($D$5/12,$D$7,$D$4)</f>
        <v/>
      </c>
      <c r="I63" s="152">
        <f>-K62*$D$6</f>
        <v/>
      </c>
      <c r="J63" s="426">
        <f>H63-I63</f>
        <v/>
      </c>
      <c r="K63" s="426">
        <f>K62+J63</f>
        <v/>
      </c>
    </row>
    <row r="64">
      <c r="G64" s="149">
        <f>G63+1</f>
        <v/>
      </c>
      <c r="H64" s="425">
        <f>PMT($D$5/12,$D$7,$D$4)</f>
        <v/>
      </c>
      <c r="I64" s="152">
        <f>-K63*$D$6</f>
        <v/>
      </c>
      <c r="J64" s="426">
        <f>H64-I64</f>
        <v/>
      </c>
      <c r="K64" s="426">
        <f>K63+J64</f>
        <v/>
      </c>
    </row>
    <row r="65">
      <c r="G65" s="149">
        <f>G64+1</f>
        <v/>
      </c>
      <c r="H65" s="425">
        <f>PMT($D$5/12,$D$7,$D$4)</f>
        <v/>
      </c>
      <c r="I65" s="152">
        <f>-K64*$D$6</f>
        <v/>
      </c>
      <c r="J65" s="426">
        <f>H65-I65</f>
        <v/>
      </c>
      <c r="K65" s="426">
        <f>K64+J65</f>
        <v/>
      </c>
    </row>
    <row r="66">
      <c r="G66" s="149">
        <f>G65+1</f>
        <v/>
      </c>
      <c r="H66" s="425">
        <f>PMT($D$5/12,$D$7,$D$4)</f>
        <v/>
      </c>
      <c r="I66" s="152">
        <f>-K65*$D$6</f>
        <v/>
      </c>
      <c r="J66" s="426">
        <f>H66-I66</f>
        <v/>
      </c>
      <c r="K66" s="426">
        <f>K65+J66</f>
        <v/>
      </c>
    </row>
    <row r="67">
      <c r="E67" t="inlineStr">
        <is>
          <t>5 AÑOS</t>
        </is>
      </c>
      <c r="G67" s="149">
        <f>G66+1</f>
        <v/>
      </c>
      <c r="H67" s="425">
        <f>PMT($D$5/12,$D$7,$D$4)</f>
        <v/>
      </c>
      <c r="I67" s="152">
        <f>-K66*$D$6</f>
        <v/>
      </c>
      <c r="J67" s="426">
        <f>H67-I67</f>
        <v/>
      </c>
      <c r="K67" s="426">
        <f>K66+J67</f>
        <v/>
      </c>
    </row>
    <row r="68">
      <c r="G68" s="112">
        <f>G67+1</f>
        <v/>
      </c>
      <c r="H68" s="427">
        <f>PMT($D$5/12,$D$7,$D$4)</f>
        <v/>
      </c>
      <c r="I68" s="114">
        <f>-K67*$D$6</f>
        <v/>
      </c>
      <c r="J68" s="428">
        <f>H68-I68</f>
        <v/>
      </c>
      <c r="K68" s="428">
        <f>K67+J68</f>
        <v/>
      </c>
    </row>
    <row r="69">
      <c r="G69" s="112">
        <f>G68+1</f>
        <v/>
      </c>
      <c r="H69" s="427">
        <f>PMT($D$5/12,$D$7,$D$4)</f>
        <v/>
      </c>
      <c r="I69" s="114">
        <f>-K68*$D$6</f>
        <v/>
      </c>
      <c r="J69" s="428">
        <f>H69-I69</f>
        <v/>
      </c>
      <c r="K69" s="428">
        <f>K68+J69</f>
        <v/>
      </c>
    </row>
    <row r="70">
      <c r="G70" s="112">
        <f>G69+1</f>
        <v/>
      </c>
      <c r="H70" s="427">
        <f>PMT($D$5/12,$D$7,$D$4)</f>
        <v/>
      </c>
      <c r="I70" s="114">
        <f>-K69*$D$6</f>
        <v/>
      </c>
      <c r="J70" s="428">
        <f>H70-I70</f>
        <v/>
      </c>
      <c r="K70" s="428">
        <f>K69+J70</f>
        <v/>
      </c>
    </row>
    <row r="71">
      <c r="G71" s="112">
        <f>G70+1</f>
        <v/>
      </c>
      <c r="H71" s="427">
        <f>PMT($D$5/12,$D$7,$D$4)</f>
        <v/>
      </c>
      <c r="I71" s="114">
        <f>-K70*$D$6</f>
        <v/>
      </c>
      <c r="J71" s="428">
        <f>H71-I71</f>
        <v/>
      </c>
      <c r="K71" s="428">
        <f>K70+J71</f>
        <v/>
      </c>
    </row>
    <row r="72">
      <c r="G72" s="112">
        <f>G71+1</f>
        <v/>
      </c>
      <c r="H72" s="427">
        <f>PMT($D$5/12,$D$7,$D$4)</f>
        <v/>
      </c>
      <c r="I72" s="114">
        <f>-K71*$D$6</f>
        <v/>
      </c>
      <c r="J72" s="428">
        <f>H72-I72</f>
        <v/>
      </c>
      <c r="K72" s="428">
        <f>K71+J72</f>
        <v/>
      </c>
    </row>
    <row r="73">
      <c r="G73" s="112">
        <f>G72+1</f>
        <v/>
      </c>
      <c r="H73" s="427">
        <f>PMT($D$5/12,$D$7,$D$4)</f>
        <v/>
      </c>
      <c r="I73" s="114">
        <f>-K72*$D$6</f>
        <v/>
      </c>
      <c r="J73" s="428">
        <f>H73-I73</f>
        <v/>
      </c>
      <c r="K73" s="428">
        <f>K72+J73</f>
        <v/>
      </c>
    </row>
    <row r="74">
      <c r="G74" s="112">
        <f>G73+1</f>
        <v/>
      </c>
      <c r="H74" s="427">
        <f>PMT($D$5/12,$D$7,$D$4)</f>
        <v/>
      </c>
      <c r="I74" s="114">
        <f>-K73*$D$6</f>
        <v/>
      </c>
      <c r="J74" s="428">
        <f>H74-I74</f>
        <v/>
      </c>
      <c r="K74" s="428">
        <f>K73+J74</f>
        <v/>
      </c>
    </row>
    <row r="75">
      <c r="G75" s="112">
        <f>G74+1</f>
        <v/>
      </c>
      <c r="H75" s="427">
        <f>PMT($D$5/12,$D$7,$D$4)</f>
        <v/>
      </c>
      <c r="I75" s="114">
        <f>-K74*$D$6</f>
        <v/>
      </c>
      <c r="J75" s="428">
        <f>H75-I75</f>
        <v/>
      </c>
      <c r="K75" s="428">
        <f>K74+J75</f>
        <v/>
      </c>
    </row>
    <row r="76">
      <c r="G76" s="112">
        <f>G75+1</f>
        <v/>
      </c>
      <c r="H76" s="427">
        <f>PMT($D$5/12,$D$7,$D$4)</f>
        <v/>
      </c>
      <c r="I76" s="114">
        <f>-K75*$D$6</f>
        <v/>
      </c>
      <c r="J76" s="428">
        <f>H76-I76</f>
        <v/>
      </c>
      <c r="K76" s="428">
        <f>K75+J76</f>
        <v/>
      </c>
    </row>
    <row r="77">
      <c r="G77" s="112">
        <f>G76+1</f>
        <v/>
      </c>
      <c r="H77" s="427">
        <f>PMT($D$5/12,$D$7,$D$4)</f>
        <v/>
      </c>
      <c r="I77" s="114">
        <f>-K76*$D$6</f>
        <v/>
      </c>
      <c r="J77" s="428">
        <f>H77-I77</f>
        <v/>
      </c>
      <c r="K77" s="428">
        <f>K76+J77</f>
        <v/>
      </c>
    </row>
    <row r="78">
      <c r="G78" s="112">
        <f>G77+1</f>
        <v/>
      </c>
      <c r="H78" s="427">
        <f>PMT($D$5/12,$D$7,$D$4)</f>
        <v/>
      </c>
      <c r="I78" s="114">
        <f>-K77*$D$6</f>
        <v/>
      </c>
      <c r="J78" s="428">
        <f>H78-I78</f>
        <v/>
      </c>
      <c r="K78" s="428">
        <f>K77+J78</f>
        <v/>
      </c>
    </row>
    <row r="79">
      <c r="G79" s="112">
        <f>G78+1</f>
        <v/>
      </c>
      <c r="H79" s="427">
        <f>PMT($D$5/12,$D$7,$D$4)</f>
        <v/>
      </c>
      <c r="I79" s="114">
        <f>-K78*$D$6</f>
        <v/>
      </c>
      <c r="J79" s="428">
        <f>H79-I79</f>
        <v/>
      </c>
      <c r="K79" s="428">
        <f>K78+J79</f>
        <v/>
      </c>
    </row>
    <row r="80">
      <c r="G80" s="112">
        <f>G79+1</f>
        <v/>
      </c>
      <c r="H80" s="427">
        <f>PMT($D$5/12,$D$7,$D$4)</f>
        <v/>
      </c>
      <c r="I80" s="114">
        <f>-K79*$D$6</f>
        <v/>
      </c>
      <c r="J80" s="428">
        <f>H80-I80</f>
        <v/>
      </c>
      <c r="K80" s="428">
        <f>K79+J80</f>
        <v/>
      </c>
    </row>
    <row r="81">
      <c r="G81" s="112">
        <f>G80+1</f>
        <v/>
      </c>
      <c r="H81" s="427">
        <f>PMT($D$5/12,$D$7,$D$4)</f>
        <v/>
      </c>
      <c r="I81" s="114">
        <f>-K80*$D$6</f>
        <v/>
      </c>
      <c r="J81" s="428">
        <f>H81-I81</f>
        <v/>
      </c>
      <c r="K81" s="428">
        <f>K80+J81</f>
        <v/>
      </c>
    </row>
    <row r="82">
      <c r="G82" s="112">
        <f>G81+1</f>
        <v/>
      </c>
      <c r="H82" s="427">
        <f>PMT($D$5/12,$D$7,$D$4)</f>
        <v/>
      </c>
      <c r="I82" s="114">
        <f>-K81*$D$6</f>
        <v/>
      </c>
      <c r="J82" s="428">
        <f>H82-I82</f>
        <v/>
      </c>
      <c r="K82" s="428">
        <f>K81+J82</f>
        <v/>
      </c>
    </row>
    <row r="83">
      <c r="G83" s="112">
        <f>G82+1</f>
        <v/>
      </c>
      <c r="H83" s="427">
        <f>PMT($D$5/12,$D$7,$D$4)</f>
        <v/>
      </c>
      <c r="I83" s="114">
        <f>-K82*$D$6</f>
        <v/>
      </c>
      <c r="J83" s="428">
        <f>H83-I83</f>
        <v/>
      </c>
      <c r="K83" s="428">
        <f>K82+J83</f>
        <v/>
      </c>
    </row>
    <row r="84">
      <c r="G84" s="112">
        <f>G83+1</f>
        <v/>
      </c>
      <c r="H84" s="427">
        <f>PMT($D$5/12,$D$7,$D$4)</f>
        <v/>
      </c>
      <c r="I84" s="114">
        <f>-K83*$D$6</f>
        <v/>
      </c>
      <c r="J84" s="428">
        <f>H84-I84</f>
        <v/>
      </c>
      <c r="K84" s="428">
        <f>K83+J84</f>
        <v/>
      </c>
    </row>
    <row r="85">
      <c r="G85" s="112">
        <f>G84+1</f>
        <v/>
      </c>
      <c r="H85" s="427">
        <f>PMT($D$5/12,$D$7,$D$4)</f>
        <v/>
      </c>
      <c r="I85" s="114">
        <f>-K84*$D$6</f>
        <v/>
      </c>
      <c r="J85" s="428">
        <f>H85-I85</f>
        <v/>
      </c>
      <c r="K85" s="428">
        <f>K84+J85</f>
        <v/>
      </c>
    </row>
    <row r="86">
      <c r="G86" s="112">
        <f>G85+1</f>
        <v/>
      </c>
      <c r="H86" s="427">
        <f>PMT($D$5/12,$D$7,$D$4)</f>
        <v/>
      </c>
      <c r="I86" s="114">
        <f>-K85*$D$6</f>
        <v/>
      </c>
      <c r="J86" s="428">
        <f>H86-I86</f>
        <v/>
      </c>
      <c r="K86" s="428">
        <f>K85+J86</f>
        <v/>
      </c>
    </row>
    <row r="87">
      <c r="G87" s="112">
        <f>G86+1</f>
        <v/>
      </c>
      <c r="H87" s="427">
        <f>PMT($D$5/12,$D$7,$D$4)</f>
        <v/>
      </c>
      <c r="I87" s="114">
        <f>-K86*$D$6</f>
        <v/>
      </c>
      <c r="J87" s="428">
        <f>H87-I87</f>
        <v/>
      </c>
      <c r="K87" s="428">
        <f>K86+J87</f>
        <v/>
      </c>
    </row>
    <row r="88">
      <c r="G88" s="112">
        <f>G87+1</f>
        <v/>
      </c>
      <c r="H88" s="427">
        <f>PMT($D$5/12,$D$7,$D$4)</f>
        <v/>
      </c>
      <c r="I88" s="114">
        <f>-K87*$D$6</f>
        <v/>
      </c>
      <c r="J88" s="428">
        <f>H88-I88</f>
        <v/>
      </c>
      <c r="K88" s="428">
        <f>K87+J88</f>
        <v/>
      </c>
    </row>
    <row r="89">
      <c r="G89" s="112">
        <f>G88+1</f>
        <v/>
      </c>
      <c r="H89" s="427">
        <f>PMT($D$5/12,$D$7,$D$4)</f>
        <v/>
      </c>
      <c r="I89" s="114">
        <f>-K88*$D$6</f>
        <v/>
      </c>
      <c r="J89" s="428">
        <f>H89-I89</f>
        <v/>
      </c>
      <c r="K89" s="428">
        <f>K88+J89</f>
        <v/>
      </c>
    </row>
    <row r="90">
      <c r="G90" s="112">
        <f>G89+1</f>
        <v/>
      </c>
      <c r="H90" s="427">
        <f>PMT($D$5/12,$D$7,$D$4)</f>
        <v/>
      </c>
      <c r="I90" s="114">
        <f>-K89*$D$6</f>
        <v/>
      </c>
      <c r="J90" s="428">
        <f>H90-I90</f>
        <v/>
      </c>
      <c r="K90" s="428">
        <f>K89+J90</f>
        <v/>
      </c>
    </row>
    <row r="91">
      <c r="G91" s="112">
        <f>G90+1</f>
        <v/>
      </c>
      <c r="H91" s="427">
        <f>PMT($D$5/12,$D$7,$D$4)</f>
        <v/>
      </c>
      <c r="I91" s="114">
        <f>-K90*$D$6</f>
        <v/>
      </c>
      <c r="J91" s="428">
        <f>H91-I91</f>
        <v/>
      </c>
      <c r="K91" s="428">
        <f>K90+J91</f>
        <v/>
      </c>
    </row>
    <row r="92">
      <c r="G92" s="112">
        <f>G91+1</f>
        <v/>
      </c>
      <c r="H92" s="427">
        <f>PMT($D$5/12,$D$7,$D$4)</f>
        <v/>
      </c>
      <c r="I92" s="114">
        <f>-K91*$D$6</f>
        <v/>
      </c>
      <c r="J92" s="428">
        <f>H92-I92</f>
        <v/>
      </c>
      <c r="K92" s="428">
        <f>K91+J92</f>
        <v/>
      </c>
    </row>
    <row r="93">
      <c r="G93" s="112">
        <f>G92+1</f>
        <v/>
      </c>
      <c r="H93" s="427">
        <f>PMT($D$5/12,$D$7,$D$4)</f>
        <v/>
      </c>
      <c r="I93" s="114">
        <f>-K92*$D$6</f>
        <v/>
      </c>
      <c r="J93" s="428">
        <f>H93-I93</f>
        <v/>
      </c>
      <c r="K93" s="428">
        <f>K92+J93</f>
        <v/>
      </c>
    </row>
    <row r="94">
      <c r="G94" s="112">
        <f>G93+1</f>
        <v/>
      </c>
      <c r="H94" s="427">
        <f>PMT($D$5/12,$D$7,$D$4)</f>
        <v/>
      </c>
      <c r="I94" s="114">
        <f>-K93*$D$6</f>
        <v/>
      </c>
      <c r="J94" s="428">
        <f>H94-I94</f>
        <v/>
      </c>
      <c r="K94" s="428">
        <f>K93+J94</f>
        <v/>
      </c>
    </row>
    <row r="95">
      <c r="G95" s="112">
        <f>G94+1</f>
        <v/>
      </c>
      <c r="H95" s="427">
        <f>PMT($D$5/12,$D$7,$D$4)</f>
        <v/>
      </c>
      <c r="I95" s="114">
        <f>-K94*$D$6</f>
        <v/>
      </c>
      <c r="J95" s="428">
        <f>H95-I95</f>
        <v/>
      </c>
      <c r="K95" s="428">
        <f>K94+J95</f>
        <v/>
      </c>
    </row>
    <row r="96">
      <c r="G96" s="112">
        <f>G95+1</f>
        <v/>
      </c>
      <c r="H96" s="427">
        <f>PMT($D$5/12,$D$7,$D$4)</f>
        <v/>
      </c>
      <c r="I96" s="114">
        <f>-K95*$D$6</f>
        <v/>
      </c>
      <c r="J96" s="428">
        <f>H96-I96</f>
        <v/>
      </c>
      <c r="K96" s="428">
        <f>K95+J96</f>
        <v/>
      </c>
    </row>
    <row r="97">
      <c r="G97" s="112">
        <f>G96+1</f>
        <v/>
      </c>
      <c r="H97" s="427">
        <f>PMT($D$5/12,$D$7,$D$4)</f>
        <v/>
      </c>
      <c r="I97" s="114">
        <f>-K96*$D$6</f>
        <v/>
      </c>
      <c r="J97" s="428">
        <f>H97-I97</f>
        <v/>
      </c>
      <c r="K97" s="428">
        <f>K96+J97</f>
        <v/>
      </c>
    </row>
    <row r="98">
      <c r="G98" s="112">
        <f>G97+1</f>
        <v/>
      </c>
      <c r="H98" s="427">
        <f>PMT($D$5/12,$D$7,$D$4)</f>
        <v/>
      </c>
      <c r="I98" s="114">
        <f>-K97*$D$6</f>
        <v/>
      </c>
      <c r="J98" s="428">
        <f>H98-I98</f>
        <v/>
      </c>
      <c r="K98" s="428">
        <f>K97+J98</f>
        <v/>
      </c>
    </row>
    <row r="99">
      <c r="G99" s="112">
        <f>G98+1</f>
        <v/>
      </c>
      <c r="H99" s="427">
        <f>PMT($D$5/12,$D$7,$D$4)</f>
        <v/>
      </c>
      <c r="I99" s="114">
        <f>-K98*$D$6</f>
        <v/>
      </c>
      <c r="J99" s="428">
        <f>H99-I99</f>
        <v/>
      </c>
      <c r="K99" s="428">
        <f>K98+J99</f>
        <v/>
      </c>
    </row>
    <row r="100">
      <c r="G100" s="112">
        <f>G99+1</f>
        <v/>
      </c>
      <c r="H100" s="427">
        <f>PMT($D$5/12,$D$7,$D$4)</f>
        <v/>
      </c>
      <c r="I100" s="114">
        <f>-K99*$D$6</f>
        <v/>
      </c>
      <c r="J100" s="428">
        <f>H100-I100</f>
        <v/>
      </c>
      <c r="K100" s="428">
        <f>K99+J100</f>
        <v/>
      </c>
    </row>
    <row r="101">
      <c r="G101" s="112">
        <f>G100+1</f>
        <v/>
      </c>
      <c r="H101" s="427">
        <f>PMT($D$5/12,$D$7,$D$4)</f>
        <v/>
      </c>
      <c r="I101" s="114">
        <f>-K100*$D$6</f>
        <v/>
      </c>
      <c r="J101" s="428">
        <f>H101-I101</f>
        <v/>
      </c>
      <c r="K101" s="428">
        <f>K100+J101</f>
        <v/>
      </c>
    </row>
    <row r="102">
      <c r="G102" s="112">
        <f>G101+1</f>
        <v/>
      </c>
      <c r="H102" s="427">
        <f>PMT($D$5/12,$D$7,$D$4)</f>
        <v/>
      </c>
      <c r="I102" s="114">
        <f>-K101*$D$6</f>
        <v/>
      </c>
      <c r="J102" s="428">
        <f>H102-I102</f>
        <v/>
      </c>
      <c r="K102" s="428">
        <f>K101+J102</f>
        <v/>
      </c>
    </row>
    <row r="103">
      <c r="G103" s="112">
        <f>G102+1</f>
        <v/>
      </c>
      <c r="H103" s="427">
        <f>PMT($D$5/12,$D$7,$D$4)</f>
        <v/>
      </c>
      <c r="I103" s="114">
        <f>-K102*$D$6</f>
        <v/>
      </c>
      <c r="J103" s="428">
        <f>H103-I103</f>
        <v/>
      </c>
      <c r="K103" s="428">
        <f>K102+J103</f>
        <v/>
      </c>
    </row>
    <row r="104">
      <c r="G104" s="112">
        <f>G103+1</f>
        <v/>
      </c>
      <c r="H104" s="427">
        <f>PMT($D$5/12,$D$7,$D$4)</f>
        <v/>
      </c>
      <c r="I104" s="114">
        <f>-K103*$D$6</f>
        <v/>
      </c>
      <c r="J104" s="428">
        <f>H104-I104</f>
        <v/>
      </c>
      <c r="K104" s="428">
        <f>K103+J104</f>
        <v/>
      </c>
    </row>
    <row r="105">
      <c r="G105" s="112">
        <f>G104+1</f>
        <v/>
      </c>
      <c r="H105" s="427">
        <f>PMT($D$5/12,$D$7,$D$4)</f>
        <v/>
      </c>
      <c r="I105" s="114">
        <f>-K104*$D$6</f>
        <v/>
      </c>
      <c r="J105" s="428">
        <f>H105-I105</f>
        <v/>
      </c>
      <c r="K105" s="428">
        <f>K104+J105</f>
        <v/>
      </c>
    </row>
    <row r="106">
      <c r="G106" s="112">
        <f>G105+1</f>
        <v/>
      </c>
      <c r="H106" s="427">
        <f>PMT($D$5/12,$D$7,$D$4)</f>
        <v/>
      </c>
      <c r="I106" s="114">
        <f>-K105*$D$6</f>
        <v/>
      </c>
      <c r="J106" s="428">
        <f>H106-I106</f>
        <v/>
      </c>
      <c r="K106" s="428">
        <f>K105+J106</f>
        <v/>
      </c>
    </row>
    <row r="107">
      <c r="G107" s="112">
        <f>G106+1</f>
        <v/>
      </c>
      <c r="H107" s="427">
        <f>PMT($D$5/12,$D$7,$D$4)</f>
        <v/>
      </c>
      <c r="I107" s="114">
        <f>-K106*$D$6</f>
        <v/>
      </c>
      <c r="J107" s="428">
        <f>H107-I107</f>
        <v/>
      </c>
      <c r="K107" s="428">
        <f>K106+J107</f>
        <v/>
      </c>
    </row>
    <row r="108">
      <c r="G108" s="112">
        <f>G107+1</f>
        <v/>
      </c>
      <c r="H108" s="427">
        <f>PMT($D$5/12,$D$7,$D$4)</f>
        <v/>
      </c>
      <c r="I108" s="114">
        <f>-K107*$D$6</f>
        <v/>
      </c>
      <c r="J108" s="428">
        <f>H108-I108</f>
        <v/>
      </c>
      <c r="K108" s="428">
        <f>K107+J108</f>
        <v/>
      </c>
    </row>
    <row r="109">
      <c r="G109" s="112">
        <f>G108+1</f>
        <v/>
      </c>
      <c r="H109" s="427">
        <f>PMT($D$5/12,$D$7,$D$4)</f>
        <v/>
      </c>
      <c r="I109" s="114">
        <f>-K108*$D$6</f>
        <v/>
      </c>
      <c r="J109" s="428">
        <f>H109-I109</f>
        <v/>
      </c>
      <c r="K109" s="428">
        <f>K108+J109</f>
        <v/>
      </c>
    </row>
    <row r="110">
      <c r="G110" s="112">
        <f>G109+1</f>
        <v/>
      </c>
      <c r="H110" s="427">
        <f>PMT($D$5/12,$D$7,$D$4)</f>
        <v/>
      </c>
      <c r="I110" s="114">
        <f>-K109*$D$6</f>
        <v/>
      </c>
      <c r="J110" s="428">
        <f>H110-I110</f>
        <v/>
      </c>
      <c r="K110" s="428">
        <f>K109+J110</f>
        <v/>
      </c>
    </row>
    <row r="111">
      <c r="G111" s="112">
        <f>G110+1</f>
        <v/>
      </c>
      <c r="H111" s="427">
        <f>PMT($D$5/12,$D$7,$D$4)</f>
        <v/>
      </c>
      <c r="I111" s="114">
        <f>-K110*$D$6</f>
        <v/>
      </c>
      <c r="J111" s="428">
        <f>H111-I111</f>
        <v/>
      </c>
      <c r="K111" s="428">
        <f>K110+J111</f>
        <v/>
      </c>
    </row>
    <row r="112">
      <c r="G112" s="112">
        <f>G111+1</f>
        <v/>
      </c>
      <c r="H112" s="427">
        <f>PMT($D$5/12,$D$7,$D$4)</f>
        <v/>
      </c>
      <c r="I112" s="114">
        <f>-K111*$D$6</f>
        <v/>
      </c>
      <c r="J112" s="428">
        <f>H112-I112</f>
        <v/>
      </c>
      <c r="K112" s="428">
        <f>K111+J112</f>
        <v/>
      </c>
    </row>
    <row r="113">
      <c r="G113" s="112">
        <f>G112+1</f>
        <v/>
      </c>
      <c r="H113" s="427">
        <f>PMT($D$5/12,$D$7,$D$4)</f>
        <v/>
      </c>
      <c r="I113" s="114">
        <f>-K112*$D$6</f>
        <v/>
      </c>
      <c r="J113" s="428">
        <f>H113-I113</f>
        <v/>
      </c>
      <c r="K113" s="428">
        <f>K112+J113</f>
        <v/>
      </c>
    </row>
    <row r="114">
      <c r="G114" s="112">
        <f>G113+1</f>
        <v/>
      </c>
      <c r="H114" s="427">
        <f>PMT($D$5/12,$D$7,$D$4)</f>
        <v/>
      </c>
      <c r="I114" s="114">
        <f>-K113*$D$6</f>
        <v/>
      </c>
      <c r="J114" s="428">
        <f>H114-I114</f>
        <v/>
      </c>
      <c r="K114" s="428">
        <f>K113+J114</f>
        <v/>
      </c>
    </row>
    <row r="115">
      <c r="G115" s="112">
        <f>G114+1</f>
        <v/>
      </c>
      <c r="H115" s="427">
        <f>PMT($D$5/12,$D$7,$D$4)</f>
        <v/>
      </c>
      <c r="I115" s="114">
        <f>-K114*$D$6</f>
        <v/>
      </c>
      <c r="J115" s="428">
        <f>H115-I115</f>
        <v/>
      </c>
      <c r="K115" s="428">
        <f>K114+J115</f>
        <v/>
      </c>
    </row>
    <row r="116">
      <c r="G116" s="112">
        <f>G115+1</f>
        <v/>
      </c>
      <c r="H116" s="427">
        <f>PMT($D$5/12,$D$7,$D$4)</f>
        <v/>
      </c>
      <c r="I116" s="114">
        <f>-K115*$D$6</f>
        <v/>
      </c>
      <c r="J116" s="428">
        <f>H116-I116</f>
        <v/>
      </c>
      <c r="K116" s="428">
        <f>K115+J116</f>
        <v/>
      </c>
    </row>
    <row r="117">
      <c r="G117" s="112">
        <f>G116+1</f>
        <v/>
      </c>
      <c r="H117" s="427">
        <f>PMT($D$5/12,$D$7,$D$4)</f>
        <v/>
      </c>
      <c r="I117" s="114">
        <f>-K116*$D$6</f>
        <v/>
      </c>
      <c r="J117" s="428">
        <f>H117-I117</f>
        <v/>
      </c>
      <c r="K117" s="428">
        <f>K116+J117</f>
        <v/>
      </c>
    </row>
    <row r="118">
      <c r="G118" s="112">
        <f>G117+1</f>
        <v/>
      </c>
      <c r="H118" s="427">
        <f>PMT($D$5/12,$D$7,$D$4)</f>
        <v/>
      </c>
      <c r="I118" s="114">
        <f>-K117*$D$6</f>
        <v/>
      </c>
      <c r="J118" s="428">
        <f>H118-I118</f>
        <v/>
      </c>
      <c r="K118" s="428">
        <f>K117+J118</f>
        <v/>
      </c>
    </row>
    <row r="119">
      <c r="G119" s="112">
        <f>G118+1</f>
        <v/>
      </c>
      <c r="H119" s="427">
        <f>PMT($D$5/12,$D$7,$D$4)</f>
        <v/>
      </c>
      <c r="I119" s="114">
        <f>-K118*$D$6</f>
        <v/>
      </c>
      <c r="J119" s="428">
        <f>H119-I119</f>
        <v/>
      </c>
      <c r="K119" s="428">
        <f>K118+J119</f>
        <v/>
      </c>
    </row>
    <row r="120">
      <c r="G120" s="112">
        <f>G119+1</f>
        <v/>
      </c>
      <c r="H120" s="427">
        <f>PMT($D$5/12,$D$7,$D$4)</f>
        <v/>
      </c>
      <c r="I120" s="114">
        <f>-K119*$D$6</f>
        <v/>
      </c>
      <c r="J120" s="428">
        <f>H120-I120</f>
        <v/>
      </c>
      <c r="K120" s="428">
        <f>K119+J120</f>
        <v/>
      </c>
    </row>
    <row r="121">
      <c r="G121" s="112">
        <f>G120+1</f>
        <v/>
      </c>
      <c r="H121" s="427">
        <f>PMT($D$5/12,$D$7,$D$4)</f>
        <v/>
      </c>
      <c r="I121" s="114">
        <f>-K120*$D$6</f>
        <v/>
      </c>
      <c r="J121" s="428">
        <f>H121-I121</f>
        <v/>
      </c>
      <c r="K121" s="428">
        <f>K120+J121</f>
        <v/>
      </c>
    </row>
    <row r="122">
      <c r="G122" s="112">
        <f>G121+1</f>
        <v/>
      </c>
      <c r="H122" s="427">
        <f>PMT($D$5/12,$D$7,$D$4)</f>
        <v/>
      </c>
      <c r="I122" s="114">
        <f>-K121*$D$6</f>
        <v/>
      </c>
      <c r="J122" s="428">
        <f>H122-I122</f>
        <v/>
      </c>
      <c r="K122" s="428">
        <f>K121+J122</f>
        <v/>
      </c>
    </row>
    <row r="123">
      <c r="G123" s="112">
        <f>G122+1</f>
        <v/>
      </c>
      <c r="H123" s="427">
        <f>PMT($D$5/12,$D$7,$D$4)</f>
        <v/>
      </c>
      <c r="I123" s="114">
        <f>-K122*$D$6</f>
        <v/>
      </c>
      <c r="J123" s="428">
        <f>H123-I123</f>
        <v/>
      </c>
      <c r="K123" s="428">
        <f>K122+J123</f>
        <v/>
      </c>
    </row>
    <row r="124">
      <c r="G124" s="112">
        <f>G123+1</f>
        <v/>
      </c>
      <c r="H124" s="427">
        <f>PMT($D$5/12,$D$7,$D$4)</f>
        <v/>
      </c>
      <c r="I124" s="114">
        <f>-K123*$D$6</f>
        <v/>
      </c>
      <c r="J124" s="428">
        <f>H124-I124</f>
        <v/>
      </c>
      <c r="K124" s="428">
        <f>K123+J124</f>
        <v/>
      </c>
    </row>
    <row r="125">
      <c r="G125" s="112">
        <f>G124+1</f>
        <v/>
      </c>
      <c r="H125" s="427">
        <f>PMT($D$5/12,$D$7,$D$4)</f>
        <v/>
      </c>
      <c r="I125" s="114">
        <f>-K124*$D$6</f>
        <v/>
      </c>
      <c r="J125" s="428">
        <f>H125-I125</f>
        <v/>
      </c>
      <c r="K125" s="428">
        <f>K124+J125</f>
        <v/>
      </c>
    </row>
    <row r="126">
      <c r="G126" s="112">
        <f>G125+1</f>
        <v/>
      </c>
      <c r="H126" s="427">
        <f>PMT($D$5/12,$D$7,$D$4)</f>
        <v/>
      </c>
      <c r="I126" s="114">
        <f>-K125*$D$6</f>
        <v/>
      </c>
      <c r="J126" s="428">
        <f>H126-I126</f>
        <v/>
      </c>
      <c r="K126" s="428">
        <f>K125+J126</f>
        <v/>
      </c>
    </row>
    <row r="127">
      <c r="E127" t="inlineStr">
        <is>
          <t>10 AÑOS</t>
        </is>
      </c>
      <c r="G127" s="112">
        <f>G126+1</f>
        <v/>
      </c>
      <c r="H127" s="427">
        <f>PMT($D$5/12,$D$7,$D$4)</f>
        <v/>
      </c>
      <c r="I127" s="114">
        <f>-K126*$D$6</f>
        <v/>
      </c>
      <c r="J127" s="428">
        <f>H127-I127</f>
        <v/>
      </c>
      <c r="K127" s="428">
        <f>K126+J127</f>
        <v/>
      </c>
    </row>
    <row r="128">
      <c r="G128" s="153">
        <f>G127+1</f>
        <v/>
      </c>
      <c r="H128" s="427">
        <f>PMT($D$5/12,$D$7,$D$4)</f>
        <v/>
      </c>
      <c r="I128" s="114">
        <f>-K127*$D$6</f>
        <v/>
      </c>
      <c r="J128" s="428">
        <f>H128-I128</f>
        <v/>
      </c>
      <c r="K128" s="428">
        <f>K127+J128</f>
        <v/>
      </c>
    </row>
    <row r="129">
      <c r="G129" s="153">
        <f>G128+1</f>
        <v/>
      </c>
      <c r="H129" s="427">
        <f>PMT($D$5/12,$D$7,$D$4)</f>
        <v/>
      </c>
      <c r="I129" s="114">
        <f>-K128*$D$6</f>
        <v/>
      </c>
      <c r="J129" s="428">
        <f>H129-I129</f>
        <v/>
      </c>
      <c r="K129" s="428">
        <f>K128+J129</f>
        <v/>
      </c>
    </row>
    <row r="130">
      <c r="G130" s="153">
        <f>G129+1</f>
        <v/>
      </c>
      <c r="H130" s="427">
        <f>PMT($D$5/12,$D$7,$D$4)</f>
        <v/>
      </c>
      <c r="I130" s="114">
        <f>-K129*$D$6</f>
        <v/>
      </c>
      <c r="J130" s="428">
        <f>H130-I130</f>
        <v/>
      </c>
      <c r="K130" s="428">
        <f>K129+J130</f>
        <v/>
      </c>
    </row>
    <row r="131">
      <c r="G131" s="153">
        <f>G130+1</f>
        <v/>
      </c>
      <c r="H131" s="427">
        <f>PMT($D$5/12,$D$7,$D$4)</f>
        <v/>
      </c>
      <c r="I131" s="114">
        <f>-K130*$D$6</f>
        <v/>
      </c>
      <c r="J131" s="428">
        <f>H131-I131</f>
        <v/>
      </c>
      <c r="K131" s="428">
        <f>K130+J131</f>
        <v/>
      </c>
    </row>
    <row r="132">
      <c r="G132" s="153">
        <f>G131+1</f>
        <v/>
      </c>
      <c r="H132" s="427">
        <f>PMT($D$5/12,$D$7,$D$4)</f>
        <v/>
      </c>
      <c r="I132" s="114">
        <f>-K131*$D$6</f>
        <v/>
      </c>
      <c r="J132" s="428">
        <f>H132-I132</f>
        <v/>
      </c>
      <c r="K132" s="428">
        <f>K131+J132</f>
        <v/>
      </c>
    </row>
    <row r="133">
      <c r="G133" s="153">
        <f>G132+1</f>
        <v/>
      </c>
      <c r="H133" s="427">
        <f>PMT($D$5/12,$D$7,$D$4)</f>
        <v/>
      </c>
      <c r="I133" s="114">
        <f>-K132*$D$6</f>
        <v/>
      </c>
      <c r="J133" s="428">
        <f>H133-I133</f>
        <v/>
      </c>
      <c r="K133" s="428">
        <f>K132+J133</f>
        <v/>
      </c>
    </row>
    <row r="134">
      <c r="G134" s="153">
        <f>G133+1</f>
        <v/>
      </c>
      <c r="H134" s="427">
        <f>PMT($D$5/12,$D$7,$D$4)</f>
        <v/>
      </c>
      <c r="I134" s="114">
        <f>-K133*$D$6</f>
        <v/>
      </c>
      <c r="J134" s="428">
        <f>H134-I134</f>
        <v/>
      </c>
      <c r="K134" s="428">
        <f>K133+J134</f>
        <v/>
      </c>
    </row>
    <row r="135">
      <c r="G135" s="153">
        <f>G134+1</f>
        <v/>
      </c>
      <c r="H135" s="427">
        <f>PMT($D$5/12,$D$7,$D$4)</f>
        <v/>
      </c>
      <c r="I135" s="114">
        <f>-K134*$D$6</f>
        <v/>
      </c>
      <c r="J135" s="428">
        <f>H135-I135</f>
        <v/>
      </c>
      <c r="K135" s="428">
        <f>K134+J135</f>
        <v/>
      </c>
    </row>
    <row r="136">
      <c r="G136" s="153">
        <f>G135+1</f>
        <v/>
      </c>
      <c r="H136" s="427">
        <f>PMT($D$5/12,$D$7,$D$4)</f>
        <v/>
      </c>
      <c r="I136" s="114">
        <f>-K135*$D$6</f>
        <v/>
      </c>
      <c r="J136" s="428">
        <f>H136-I136</f>
        <v/>
      </c>
      <c r="K136" s="428">
        <f>K135+J136</f>
        <v/>
      </c>
    </row>
    <row r="137">
      <c r="G137" s="153">
        <f>G136+1</f>
        <v/>
      </c>
      <c r="H137" s="427">
        <f>PMT($D$5/12,$D$7,$D$4)</f>
        <v/>
      </c>
      <c r="I137" s="114">
        <f>-K136*$D$6</f>
        <v/>
      </c>
      <c r="J137" s="428">
        <f>H137-I137</f>
        <v/>
      </c>
      <c r="K137" s="428">
        <f>K136+J137</f>
        <v/>
      </c>
    </row>
    <row r="138">
      <c r="G138" s="153">
        <f>G137+1</f>
        <v/>
      </c>
      <c r="H138" s="427">
        <f>PMT($D$5/12,$D$7,$D$4)</f>
        <v/>
      </c>
      <c r="I138" s="114">
        <f>-K137*$D$6</f>
        <v/>
      </c>
      <c r="J138" s="428">
        <f>H138-I138</f>
        <v/>
      </c>
      <c r="K138" s="428">
        <f>K137+J138</f>
        <v/>
      </c>
    </row>
    <row r="139">
      <c r="G139" s="153">
        <f>G138+1</f>
        <v/>
      </c>
      <c r="H139" s="427">
        <f>PMT($D$5/12,$D$7,$D$4)</f>
        <v/>
      </c>
      <c r="I139" s="114">
        <f>-K138*$D$6</f>
        <v/>
      </c>
      <c r="J139" s="428">
        <f>H139-I139</f>
        <v/>
      </c>
      <c r="K139" s="428">
        <f>K138+J139</f>
        <v/>
      </c>
    </row>
    <row r="140">
      <c r="G140" s="153">
        <f>G139+1</f>
        <v/>
      </c>
      <c r="H140" s="427">
        <f>PMT($D$5/12,$D$7,$D$4)</f>
        <v/>
      </c>
      <c r="I140" s="114">
        <f>-K139*$D$6</f>
        <v/>
      </c>
      <c r="J140" s="428">
        <f>H140-I140</f>
        <v/>
      </c>
      <c r="K140" s="428">
        <f>K139+J140</f>
        <v/>
      </c>
    </row>
    <row r="141">
      <c r="G141" s="153">
        <f>G140+1</f>
        <v/>
      </c>
      <c r="H141" s="427">
        <f>PMT($D$5/12,$D$7,$D$4)</f>
        <v/>
      </c>
      <c r="I141" s="114">
        <f>-K140*$D$6</f>
        <v/>
      </c>
      <c r="J141" s="428">
        <f>H141-I141</f>
        <v/>
      </c>
      <c r="K141" s="428">
        <f>K140+J141</f>
        <v/>
      </c>
    </row>
    <row r="142">
      <c r="G142" s="153">
        <f>G141+1</f>
        <v/>
      </c>
      <c r="H142" s="427">
        <f>PMT($D$5/12,$D$7,$D$4)</f>
        <v/>
      </c>
      <c r="I142" s="114">
        <f>-K141*$D$6</f>
        <v/>
      </c>
      <c r="J142" s="428">
        <f>H142-I142</f>
        <v/>
      </c>
      <c r="K142" s="428">
        <f>K141+J142</f>
        <v/>
      </c>
    </row>
    <row r="143">
      <c r="G143" s="153">
        <f>G142+1</f>
        <v/>
      </c>
      <c r="H143" s="427">
        <f>PMT($D$5/12,$D$7,$D$4)</f>
        <v/>
      </c>
      <c r="I143" s="114">
        <f>-K142*$D$6</f>
        <v/>
      </c>
      <c r="J143" s="428">
        <f>H143-I143</f>
        <v/>
      </c>
      <c r="K143" s="428">
        <f>K142+J143</f>
        <v/>
      </c>
    </row>
    <row r="144">
      <c r="G144" s="153">
        <f>G143+1</f>
        <v/>
      </c>
      <c r="H144" s="427">
        <f>PMT($D$5/12,$D$7,$D$4)</f>
        <v/>
      </c>
      <c r="I144" s="114">
        <f>-K143*$D$6</f>
        <v/>
      </c>
      <c r="J144" s="428">
        <f>H144-I144</f>
        <v/>
      </c>
      <c r="K144" s="428">
        <f>K143+J144</f>
        <v/>
      </c>
    </row>
    <row r="145">
      <c r="G145" s="153">
        <f>G144+1</f>
        <v/>
      </c>
      <c r="H145" s="427">
        <f>PMT($D$5/12,$D$7,$D$4)</f>
        <v/>
      </c>
      <c r="I145" s="114">
        <f>-K144*$D$6</f>
        <v/>
      </c>
      <c r="J145" s="428">
        <f>H145-I145</f>
        <v/>
      </c>
      <c r="K145" s="428">
        <f>K144+J145</f>
        <v/>
      </c>
    </row>
    <row r="146">
      <c r="G146" s="153">
        <f>G145+1</f>
        <v/>
      </c>
      <c r="H146" s="427">
        <f>PMT($D$5/12,$D$7,$D$4)</f>
        <v/>
      </c>
      <c r="I146" s="114">
        <f>-K145*$D$6</f>
        <v/>
      </c>
      <c r="J146" s="428">
        <f>H146-I146</f>
        <v/>
      </c>
      <c r="K146" s="428">
        <f>K145+J146</f>
        <v/>
      </c>
    </row>
    <row r="147">
      <c r="G147" s="153">
        <f>G146+1</f>
        <v/>
      </c>
      <c r="H147" s="427">
        <f>PMT($D$5/12,$D$7,$D$4)</f>
        <v/>
      </c>
      <c r="I147" s="114">
        <f>-K146*$D$6</f>
        <v/>
      </c>
      <c r="J147" s="428">
        <f>H147-I147</f>
        <v/>
      </c>
      <c r="K147" s="428">
        <f>K146+J147</f>
        <v/>
      </c>
    </row>
    <row r="148">
      <c r="G148" s="153">
        <f>G147+1</f>
        <v/>
      </c>
      <c r="H148" s="427">
        <f>PMT($D$5/12,$D$7,$D$4)</f>
        <v/>
      </c>
      <c r="I148" s="114">
        <f>-K147*$D$6</f>
        <v/>
      </c>
      <c r="J148" s="428">
        <f>H148-I148</f>
        <v/>
      </c>
      <c r="K148" s="428">
        <f>K147+J148</f>
        <v/>
      </c>
    </row>
    <row r="149">
      <c r="G149" s="153">
        <f>G148+1</f>
        <v/>
      </c>
      <c r="H149" s="427">
        <f>PMT($D$5/12,$D$7,$D$4)</f>
        <v/>
      </c>
      <c r="I149" s="114">
        <f>-K148*$D$6</f>
        <v/>
      </c>
      <c r="J149" s="428">
        <f>H149-I149</f>
        <v/>
      </c>
      <c r="K149" s="428">
        <f>K148+J149</f>
        <v/>
      </c>
    </row>
    <row r="150">
      <c r="G150" s="153">
        <f>G149+1</f>
        <v/>
      </c>
      <c r="H150" s="427">
        <f>PMT($D$5/12,$D$7,$D$4)</f>
        <v/>
      </c>
      <c r="I150" s="114">
        <f>-K149*$D$6</f>
        <v/>
      </c>
      <c r="J150" s="428">
        <f>H150-I150</f>
        <v/>
      </c>
      <c r="K150" s="428">
        <f>K149+J150</f>
        <v/>
      </c>
    </row>
    <row r="151">
      <c r="G151" s="153">
        <f>G150+1</f>
        <v/>
      </c>
      <c r="H151" s="427">
        <f>PMT($D$5/12,$D$7,$D$4)</f>
        <v/>
      </c>
      <c r="I151" s="114">
        <f>-K150*$D$6</f>
        <v/>
      </c>
      <c r="J151" s="428">
        <f>H151-I151</f>
        <v/>
      </c>
      <c r="K151" s="428">
        <f>K150+J151</f>
        <v/>
      </c>
    </row>
    <row r="152">
      <c r="G152" s="153">
        <f>G151+1</f>
        <v/>
      </c>
      <c r="H152" s="427">
        <f>PMT($D$5/12,$D$7,$D$4)</f>
        <v/>
      </c>
      <c r="I152" s="114">
        <f>-K151*$D$6</f>
        <v/>
      </c>
      <c r="J152" s="428">
        <f>H152-I152</f>
        <v/>
      </c>
      <c r="K152" s="428">
        <f>K151+J152</f>
        <v/>
      </c>
    </row>
    <row r="153">
      <c r="G153" s="153">
        <f>G152+1</f>
        <v/>
      </c>
      <c r="H153" s="427">
        <f>PMT($D$5/12,$D$7,$D$4)</f>
        <v/>
      </c>
      <c r="I153" s="114">
        <f>-K152*$D$6</f>
        <v/>
      </c>
      <c r="J153" s="428">
        <f>H153-I153</f>
        <v/>
      </c>
      <c r="K153" s="428">
        <f>K152+J153</f>
        <v/>
      </c>
    </row>
    <row r="154">
      <c r="G154" s="153">
        <f>G153+1</f>
        <v/>
      </c>
      <c r="H154" s="427">
        <f>PMT($D$5/12,$D$7,$D$4)</f>
        <v/>
      </c>
      <c r="I154" s="114">
        <f>-K153*$D$6</f>
        <v/>
      </c>
      <c r="J154" s="428">
        <f>H154-I154</f>
        <v/>
      </c>
      <c r="K154" s="428">
        <f>K153+J154</f>
        <v/>
      </c>
    </row>
    <row r="155">
      <c r="G155" s="153">
        <f>G154+1</f>
        <v/>
      </c>
      <c r="H155" s="427">
        <f>PMT($D$5/12,$D$7,$D$4)</f>
        <v/>
      </c>
      <c r="I155" s="114">
        <f>-K154*$D$6</f>
        <v/>
      </c>
      <c r="J155" s="428">
        <f>H155-I155</f>
        <v/>
      </c>
      <c r="K155" s="428">
        <f>K154+J155</f>
        <v/>
      </c>
    </row>
    <row r="156">
      <c r="G156" s="153">
        <f>G155+1</f>
        <v/>
      </c>
      <c r="H156" s="427">
        <f>PMT($D$5/12,$D$7,$D$4)</f>
        <v/>
      </c>
      <c r="I156" s="114">
        <f>-K155*$D$6</f>
        <v/>
      </c>
      <c r="J156" s="428">
        <f>H156-I156</f>
        <v/>
      </c>
      <c r="K156" s="428">
        <f>K155+J156</f>
        <v/>
      </c>
    </row>
    <row r="157">
      <c r="G157" s="153">
        <f>G156+1</f>
        <v/>
      </c>
      <c r="H157" s="427">
        <f>PMT($D$5/12,$D$7,$D$4)</f>
        <v/>
      </c>
      <c r="I157" s="114">
        <f>-K156*$D$6</f>
        <v/>
      </c>
      <c r="J157" s="428">
        <f>H157-I157</f>
        <v/>
      </c>
      <c r="K157" s="428">
        <f>K156+J157</f>
        <v/>
      </c>
    </row>
    <row r="158">
      <c r="G158" s="153">
        <f>G157+1</f>
        <v/>
      </c>
      <c r="H158" s="427">
        <f>PMT($D$5/12,$D$7,$D$4)</f>
        <v/>
      </c>
      <c r="I158" s="114">
        <f>-K157*$D$6</f>
        <v/>
      </c>
      <c r="J158" s="428">
        <f>H158-I158</f>
        <v/>
      </c>
      <c r="K158" s="428">
        <f>K157+J158</f>
        <v/>
      </c>
    </row>
    <row r="159">
      <c r="G159" s="153">
        <f>G158+1</f>
        <v/>
      </c>
      <c r="H159" s="427">
        <f>PMT($D$5/12,$D$7,$D$4)</f>
        <v/>
      </c>
      <c r="I159" s="114">
        <f>-K158*$D$6</f>
        <v/>
      </c>
      <c r="J159" s="428">
        <f>H159-I159</f>
        <v/>
      </c>
      <c r="K159" s="428">
        <f>K158+J159</f>
        <v/>
      </c>
    </row>
    <row r="160">
      <c r="G160" s="153">
        <f>G159+1</f>
        <v/>
      </c>
      <c r="H160" s="427">
        <f>PMT($D$5/12,$D$7,$D$4)</f>
        <v/>
      </c>
      <c r="I160" s="114">
        <f>-K159*$D$6</f>
        <v/>
      </c>
      <c r="J160" s="428">
        <f>H160-I160</f>
        <v/>
      </c>
      <c r="K160" s="428">
        <f>K159+J160</f>
        <v/>
      </c>
    </row>
    <row r="161">
      <c r="G161" s="153">
        <f>G160+1</f>
        <v/>
      </c>
      <c r="H161" s="427">
        <f>PMT($D$5/12,$D$7,$D$4)</f>
        <v/>
      </c>
      <c r="I161" s="114">
        <f>-K160*$D$6</f>
        <v/>
      </c>
      <c r="J161" s="428">
        <f>H161-I161</f>
        <v/>
      </c>
      <c r="K161" s="428">
        <f>K160+J161</f>
        <v/>
      </c>
    </row>
    <row r="162">
      <c r="G162" s="153">
        <f>G161+1</f>
        <v/>
      </c>
      <c r="H162" s="427">
        <f>PMT($D$5/12,$D$7,$D$4)</f>
        <v/>
      </c>
      <c r="I162" s="114">
        <f>-K161*$D$6</f>
        <v/>
      </c>
      <c r="J162" s="428">
        <f>H162-I162</f>
        <v/>
      </c>
      <c r="K162" s="428">
        <f>K161+J162</f>
        <v/>
      </c>
    </row>
    <row r="163">
      <c r="G163" s="153">
        <f>G162+1</f>
        <v/>
      </c>
      <c r="H163" s="427">
        <f>PMT($D$5/12,$D$7,$D$4)</f>
        <v/>
      </c>
      <c r="I163" s="114">
        <f>-K162*$D$6</f>
        <v/>
      </c>
      <c r="J163" s="428">
        <f>H163-I163</f>
        <v/>
      </c>
      <c r="K163" s="428">
        <f>K162+J163</f>
        <v/>
      </c>
    </row>
    <row r="164">
      <c r="G164" s="153">
        <f>G163+1</f>
        <v/>
      </c>
      <c r="H164" s="427">
        <f>PMT($D$5/12,$D$7,$D$4)</f>
        <v/>
      </c>
      <c r="I164" s="114">
        <f>-K163*$D$6</f>
        <v/>
      </c>
      <c r="J164" s="428">
        <f>H164-I164</f>
        <v/>
      </c>
      <c r="K164" s="428">
        <f>K163+J164</f>
        <v/>
      </c>
    </row>
    <row r="165">
      <c r="G165" s="153">
        <f>G164+1</f>
        <v/>
      </c>
      <c r="H165" s="427">
        <f>PMT($D$5/12,$D$7,$D$4)</f>
        <v/>
      </c>
      <c r="I165" s="114">
        <f>-K164*$D$6</f>
        <v/>
      </c>
      <c r="J165" s="428">
        <f>H165-I165</f>
        <v/>
      </c>
      <c r="K165" s="428">
        <f>K164+J165</f>
        <v/>
      </c>
    </row>
    <row r="166">
      <c r="G166" s="153">
        <f>G165+1</f>
        <v/>
      </c>
      <c r="H166" s="427">
        <f>PMT($D$5/12,$D$7,$D$4)</f>
        <v/>
      </c>
      <c r="I166" s="114">
        <f>-K165*$D$6</f>
        <v/>
      </c>
      <c r="J166" s="428">
        <f>H166-I166</f>
        <v/>
      </c>
      <c r="K166" s="428">
        <f>K165+J166</f>
        <v/>
      </c>
    </row>
    <row r="167">
      <c r="G167" s="153">
        <f>G166+1</f>
        <v/>
      </c>
      <c r="H167" s="427">
        <f>PMT($D$5/12,$D$7,$D$4)</f>
        <v/>
      </c>
      <c r="I167" s="114">
        <f>-K166*$D$6</f>
        <v/>
      </c>
      <c r="J167" s="428">
        <f>H167-I167</f>
        <v/>
      </c>
      <c r="K167" s="428">
        <f>K166+J167</f>
        <v/>
      </c>
    </row>
    <row r="168">
      <c r="G168" s="153">
        <f>G167+1</f>
        <v/>
      </c>
      <c r="H168" s="427">
        <f>PMT($D$5/12,$D$7,$D$4)</f>
        <v/>
      </c>
      <c r="I168" s="114">
        <f>-K167*$D$6</f>
        <v/>
      </c>
      <c r="J168" s="428">
        <f>H168-I168</f>
        <v/>
      </c>
      <c r="K168" s="428">
        <f>K167+J168</f>
        <v/>
      </c>
    </row>
    <row r="169">
      <c r="G169" s="153">
        <f>G168+1</f>
        <v/>
      </c>
      <c r="H169" s="427">
        <f>PMT($D$5/12,$D$7,$D$4)</f>
        <v/>
      </c>
      <c r="I169" s="114">
        <f>-K168*$D$6</f>
        <v/>
      </c>
      <c r="J169" s="428">
        <f>H169-I169</f>
        <v/>
      </c>
      <c r="K169" s="428">
        <f>K168+J169</f>
        <v/>
      </c>
    </row>
    <row r="170">
      <c r="G170" s="153">
        <f>G169+1</f>
        <v/>
      </c>
      <c r="H170" s="427">
        <f>PMT($D$5/12,$D$7,$D$4)</f>
        <v/>
      </c>
      <c r="I170" s="114">
        <f>-K169*$D$6</f>
        <v/>
      </c>
      <c r="J170" s="428">
        <f>H170-I170</f>
        <v/>
      </c>
      <c r="K170" s="428">
        <f>K169+J170</f>
        <v/>
      </c>
    </row>
    <row r="171">
      <c r="G171" s="153">
        <f>G170+1</f>
        <v/>
      </c>
      <c r="H171" s="427">
        <f>PMT($D$5/12,$D$7,$D$4)</f>
        <v/>
      </c>
      <c r="I171" s="114">
        <f>-K170*$D$6</f>
        <v/>
      </c>
      <c r="J171" s="428">
        <f>H171-I171</f>
        <v/>
      </c>
      <c r="K171" s="428">
        <f>K170+J171</f>
        <v/>
      </c>
    </row>
    <row r="172">
      <c r="G172" s="153">
        <f>G171+1</f>
        <v/>
      </c>
      <c r="H172" s="427">
        <f>PMT($D$5/12,$D$7,$D$4)</f>
        <v/>
      </c>
      <c r="I172" s="114">
        <f>-K171*$D$6</f>
        <v/>
      </c>
      <c r="J172" s="428">
        <f>H172-I172</f>
        <v/>
      </c>
      <c r="K172" s="428">
        <f>K171+J172</f>
        <v/>
      </c>
    </row>
    <row r="173">
      <c r="G173" s="153">
        <f>G172+1</f>
        <v/>
      </c>
      <c r="H173" s="427">
        <f>PMT($D$5/12,$D$7,$D$4)</f>
        <v/>
      </c>
      <c r="I173" s="114">
        <f>-K172*$D$6</f>
        <v/>
      </c>
      <c r="J173" s="428">
        <f>H173-I173</f>
        <v/>
      </c>
      <c r="K173" s="428">
        <f>K172+J173</f>
        <v/>
      </c>
    </row>
    <row r="174">
      <c r="G174" s="153">
        <f>G173+1</f>
        <v/>
      </c>
      <c r="H174" s="427">
        <f>PMT($D$5/12,$D$7,$D$4)</f>
        <v/>
      </c>
      <c r="I174" s="114">
        <f>-K173*$D$6</f>
        <v/>
      </c>
      <c r="J174" s="428">
        <f>H174-I174</f>
        <v/>
      </c>
      <c r="K174" s="428">
        <f>K173+J174</f>
        <v/>
      </c>
    </row>
    <row r="175">
      <c r="G175" s="153">
        <f>G174+1</f>
        <v/>
      </c>
      <c r="H175" s="427">
        <f>PMT($D$5/12,$D$7,$D$4)</f>
        <v/>
      </c>
      <c r="I175" s="114">
        <f>-K174*$D$6</f>
        <v/>
      </c>
      <c r="J175" s="428">
        <f>H175-I175</f>
        <v/>
      </c>
      <c r="K175" s="428">
        <f>K174+J175</f>
        <v/>
      </c>
    </row>
    <row r="176">
      <c r="G176" s="153">
        <f>G175+1</f>
        <v/>
      </c>
      <c r="H176" s="427">
        <f>PMT($D$5/12,$D$7,$D$4)</f>
        <v/>
      </c>
      <c r="I176" s="114">
        <f>-K175*$D$6</f>
        <v/>
      </c>
      <c r="J176" s="428">
        <f>H176-I176</f>
        <v/>
      </c>
      <c r="K176" s="428">
        <f>K175+J176</f>
        <v/>
      </c>
    </row>
    <row r="177">
      <c r="G177" s="153">
        <f>G176+1</f>
        <v/>
      </c>
      <c r="H177" s="427">
        <f>PMT($D$5/12,$D$7,$D$4)</f>
        <v/>
      </c>
      <c r="I177" s="114">
        <f>-K176*$D$6</f>
        <v/>
      </c>
      <c r="J177" s="428">
        <f>H177-I177</f>
        <v/>
      </c>
      <c r="K177" s="428">
        <f>K176+J177</f>
        <v/>
      </c>
    </row>
    <row r="178">
      <c r="G178" s="153">
        <f>G177+1</f>
        <v/>
      </c>
      <c r="H178" s="427">
        <f>PMT($D$5/12,$D$7,$D$4)</f>
        <v/>
      </c>
      <c r="I178" s="114">
        <f>-K177*$D$6</f>
        <v/>
      </c>
      <c r="J178" s="428">
        <f>H178-I178</f>
        <v/>
      </c>
      <c r="K178" s="428">
        <f>K177+J178</f>
        <v/>
      </c>
    </row>
    <row r="179">
      <c r="G179" s="153">
        <f>G178+1</f>
        <v/>
      </c>
      <c r="H179" s="427">
        <f>PMT($D$5/12,$D$7,$D$4)</f>
        <v/>
      </c>
      <c r="I179" s="114">
        <f>-K178*$D$6</f>
        <v/>
      </c>
      <c r="J179" s="428">
        <f>H179-I179</f>
        <v/>
      </c>
      <c r="K179" s="428">
        <f>K178+J179</f>
        <v/>
      </c>
    </row>
    <row r="180">
      <c r="G180" s="153">
        <f>G179+1</f>
        <v/>
      </c>
      <c r="H180" s="427">
        <f>PMT($D$5/12,$D$7,$D$4)</f>
        <v/>
      </c>
      <c r="I180" s="114">
        <f>-K179*$D$6</f>
        <v/>
      </c>
      <c r="J180" s="428">
        <f>H180-I180</f>
        <v/>
      </c>
      <c r="K180" s="428">
        <f>K179+J180</f>
        <v/>
      </c>
    </row>
    <row r="181">
      <c r="G181" s="153">
        <f>G180+1</f>
        <v/>
      </c>
      <c r="H181" s="427">
        <f>PMT($D$5/12,$D$7,$D$4)</f>
        <v/>
      </c>
      <c r="I181" s="114">
        <f>-K180*$D$6</f>
        <v/>
      </c>
      <c r="J181" s="428">
        <f>H181-I181</f>
        <v/>
      </c>
      <c r="K181" s="428">
        <f>K180+J181</f>
        <v/>
      </c>
    </row>
    <row r="182">
      <c r="G182" s="153">
        <f>G181+1</f>
        <v/>
      </c>
      <c r="H182" s="427">
        <f>PMT($D$5/12,$D$7,$D$4)</f>
        <v/>
      </c>
      <c r="I182" s="114">
        <f>-K181*$D$6</f>
        <v/>
      </c>
      <c r="J182" s="428">
        <f>H182-I182</f>
        <v/>
      </c>
      <c r="K182" s="428">
        <f>K181+J182</f>
        <v/>
      </c>
    </row>
    <row r="183">
      <c r="G183" s="153">
        <f>G182+1</f>
        <v/>
      </c>
      <c r="H183" s="427">
        <f>PMT($D$5/12,$D$7,$D$4)</f>
        <v/>
      </c>
      <c r="I183" s="114">
        <f>-K182*$D$6</f>
        <v/>
      </c>
      <c r="J183" s="428">
        <f>H183-I183</f>
        <v/>
      </c>
      <c r="K183" s="428">
        <f>K182+J183</f>
        <v/>
      </c>
    </row>
    <row r="184">
      <c r="G184" s="153">
        <f>G183+1</f>
        <v/>
      </c>
      <c r="H184" s="427">
        <f>PMT($D$5/12,$D$7,$D$4)</f>
        <v/>
      </c>
      <c r="I184" s="114">
        <f>-K183*$D$6</f>
        <v/>
      </c>
      <c r="J184" s="428">
        <f>H184-I184</f>
        <v/>
      </c>
      <c r="K184" s="428">
        <f>K183+J184</f>
        <v/>
      </c>
    </row>
    <row r="185">
      <c r="G185" s="153">
        <f>G184+1</f>
        <v/>
      </c>
      <c r="H185" s="427">
        <f>PMT($D$5/12,$D$7,$D$4)</f>
        <v/>
      </c>
      <c r="I185" s="114">
        <f>-K184*$D$6</f>
        <v/>
      </c>
      <c r="J185" s="428">
        <f>H185-I185</f>
        <v/>
      </c>
      <c r="K185" s="428">
        <f>K184+J185</f>
        <v/>
      </c>
    </row>
    <row r="186">
      <c r="G186" s="153">
        <f>G185+1</f>
        <v/>
      </c>
      <c r="H186" s="427">
        <f>PMT($D$5/12,$D$7,$D$4)</f>
        <v/>
      </c>
      <c r="I186" s="114">
        <f>-K185*$D$6</f>
        <v/>
      </c>
      <c r="J186" s="428">
        <f>H186-I186</f>
        <v/>
      </c>
      <c r="K186" s="428">
        <f>K185+J186</f>
        <v/>
      </c>
    </row>
    <row r="187">
      <c r="G187" s="153">
        <f>G186+1</f>
        <v/>
      </c>
      <c r="H187" s="427">
        <f>PMT($D$5/12,$D$7,$D$4)</f>
        <v/>
      </c>
      <c r="I187" s="114">
        <f>-K186*$D$6</f>
        <v/>
      </c>
      <c r="J187" s="428">
        <f>H187-I187</f>
        <v/>
      </c>
      <c r="K187" s="428">
        <f>K186+J187</f>
        <v/>
      </c>
    </row>
    <row r="188">
      <c r="G188" s="153">
        <f>G187+1</f>
        <v/>
      </c>
      <c r="H188" s="427">
        <f>PMT($D$5/12,$D$7,$D$4)</f>
        <v/>
      </c>
      <c r="I188" s="114">
        <f>-K187*$D$6</f>
        <v/>
      </c>
      <c r="J188" s="428">
        <f>H188-I188</f>
        <v/>
      </c>
      <c r="K188" s="428">
        <f>K187+J188</f>
        <v/>
      </c>
    </row>
    <row r="189">
      <c r="G189" s="153">
        <f>G188+1</f>
        <v/>
      </c>
      <c r="H189" s="427">
        <f>PMT($D$5/12,$D$7,$D$4)</f>
        <v/>
      </c>
      <c r="I189" s="114">
        <f>-K188*$D$6</f>
        <v/>
      </c>
      <c r="J189" s="428">
        <f>H189-I189</f>
        <v/>
      </c>
      <c r="K189" s="428">
        <f>K188+J189</f>
        <v/>
      </c>
    </row>
    <row r="190">
      <c r="G190" s="153">
        <f>G189+1</f>
        <v/>
      </c>
      <c r="H190" s="427">
        <f>PMT($D$5/12,$D$7,$D$4)</f>
        <v/>
      </c>
      <c r="I190" s="114">
        <f>-K189*$D$6</f>
        <v/>
      </c>
      <c r="J190" s="428">
        <f>H190-I190</f>
        <v/>
      </c>
      <c r="K190" s="428">
        <f>K189+J190</f>
        <v/>
      </c>
    </row>
    <row r="191">
      <c r="G191" s="153">
        <f>G190+1</f>
        <v/>
      </c>
      <c r="H191" s="427">
        <f>PMT($D$5/12,$D$7,$D$4)</f>
        <v/>
      </c>
      <c r="I191" s="114">
        <f>-K190*$D$6</f>
        <v/>
      </c>
      <c r="J191" s="428">
        <f>H191-I191</f>
        <v/>
      </c>
      <c r="K191" s="428">
        <f>K190+J191</f>
        <v/>
      </c>
    </row>
    <row r="192">
      <c r="G192" s="153">
        <f>G191+1</f>
        <v/>
      </c>
      <c r="H192" s="427">
        <f>PMT($D$5/12,$D$7,$D$4)</f>
        <v/>
      </c>
      <c r="I192" s="114">
        <f>-K191*$D$6</f>
        <v/>
      </c>
      <c r="J192" s="428">
        <f>H192-I192</f>
        <v/>
      </c>
      <c r="K192" s="428">
        <f>K191+J192</f>
        <v/>
      </c>
    </row>
    <row r="193">
      <c r="G193" s="153">
        <f>G192+1</f>
        <v/>
      </c>
      <c r="H193" s="427">
        <f>PMT($D$5/12,$D$7,$D$4)</f>
        <v/>
      </c>
      <c r="I193" s="114">
        <f>-K192*$D$6</f>
        <v/>
      </c>
      <c r="J193" s="428">
        <f>H193-I193</f>
        <v/>
      </c>
      <c r="K193" s="428">
        <f>K192+J193</f>
        <v/>
      </c>
    </row>
    <row r="194">
      <c r="G194" s="153">
        <f>G193+1</f>
        <v/>
      </c>
      <c r="H194" s="427">
        <f>PMT($D$5/12,$D$7,$D$4)</f>
        <v/>
      </c>
      <c r="I194" s="114">
        <f>-K193*$D$6</f>
        <v/>
      </c>
      <c r="J194" s="428">
        <f>H194-I194</f>
        <v/>
      </c>
      <c r="K194" s="428">
        <f>K193+J194</f>
        <v/>
      </c>
    </row>
    <row r="195">
      <c r="G195" s="153">
        <f>G194+1</f>
        <v/>
      </c>
      <c r="H195" s="427">
        <f>PMT($D$5/12,$D$7,$D$4)</f>
        <v/>
      </c>
      <c r="I195" s="114">
        <f>-K194*$D$6</f>
        <v/>
      </c>
      <c r="J195" s="428">
        <f>H195-I195</f>
        <v/>
      </c>
      <c r="K195" s="428">
        <f>K194+J195</f>
        <v/>
      </c>
    </row>
    <row r="196">
      <c r="G196" s="153">
        <f>G195+1</f>
        <v/>
      </c>
      <c r="H196" s="427">
        <f>PMT($D$5/12,$D$7,$D$4)</f>
        <v/>
      </c>
      <c r="I196" s="114">
        <f>-K195*$D$6</f>
        <v/>
      </c>
      <c r="J196" s="428">
        <f>H196-I196</f>
        <v/>
      </c>
      <c r="K196" s="428">
        <f>K195+J196</f>
        <v/>
      </c>
    </row>
    <row r="197">
      <c r="G197" s="153">
        <f>G196+1</f>
        <v/>
      </c>
      <c r="H197" s="427">
        <f>PMT($D$5/12,$D$7,$D$4)</f>
        <v/>
      </c>
      <c r="I197" s="114">
        <f>-K196*$D$6</f>
        <v/>
      </c>
      <c r="J197" s="428">
        <f>H197-I197</f>
        <v/>
      </c>
      <c r="K197" s="428">
        <f>K196+J197</f>
        <v/>
      </c>
    </row>
    <row r="198">
      <c r="G198" s="153">
        <f>G197+1</f>
        <v/>
      </c>
      <c r="H198" s="427">
        <f>PMT($D$5/12,$D$7,$D$4)</f>
        <v/>
      </c>
      <c r="I198" s="114">
        <f>-K197*$D$6</f>
        <v/>
      </c>
      <c r="J198" s="428">
        <f>H198-I198</f>
        <v/>
      </c>
      <c r="K198" s="428">
        <f>K197+J198</f>
        <v/>
      </c>
    </row>
    <row r="199">
      <c r="G199" s="153">
        <f>G198+1</f>
        <v/>
      </c>
      <c r="H199" s="427">
        <f>PMT($D$5/12,$D$7,$D$4)</f>
        <v/>
      </c>
      <c r="I199" s="114">
        <f>-K198*$D$6</f>
        <v/>
      </c>
      <c r="J199" s="428">
        <f>H199-I199</f>
        <v/>
      </c>
      <c r="K199" s="428">
        <f>K198+J199</f>
        <v/>
      </c>
    </row>
    <row r="200">
      <c r="G200" s="153">
        <f>G199+1</f>
        <v/>
      </c>
      <c r="H200" s="427">
        <f>PMT($D$5/12,$D$7,$D$4)</f>
        <v/>
      </c>
      <c r="I200" s="114">
        <f>-K199*$D$6</f>
        <v/>
      </c>
      <c r="J200" s="428">
        <f>H200-I200</f>
        <v/>
      </c>
      <c r="K200" s="428">
        <f>K199+J200</f>
        <v/>
      </c>
    </row>
    <row r="201">
      <c r="G201" s="153">
        <f>G200+1</f>
        <v/>
      </c>
      <c r="H201" s="427">
        <f>PMT($D$5/12,$D$7,$D$4)</f>
        <v/>
      </c>
      <c r="I201" s="114">
        <f>-K200*$D$6</f>
        <v/>
      </c>
      <c r="J201" s="428">
        <f>H201-I201</f>
        <v/>
      </c>
      <c r="K201" s="428">
        <f>K200+J201</f>
        <v/>
      </c>
    </row>
    <row r="202">
      <c r="G202" s="153">
        <f>G201+1</f>
        <v/>
      </c>
      <c r="H202" s="427">
        <f>PMT($D$5/12,$D$7,$D$4)</f>
        <v/>
      </c>
      <c r="I202" s="114">
        <f>-K201*$D$6</f>
        <v/>
      </c>
      <c r="J202" s="428">
        <f>H202-I202</f>
        <v/>
      </c>
      <c r="K202" s="428">
        <f>K201+J202</f>
        <v/>
      </c>
    </row>
    <row r="203">
      <c r="G203" s="153">
        <f>G202+1</f>
        <v/>
      </c>
      <c r="H203" s="427">
        <f>PMT($D$5/12,$D$7,$D$4)</f>
        <v/>
      </c>
      <c r="I203" s="114">
        <f>-K202*$D$6</f>
        <v/>
      </c>
      <c r="J203" s="428">
        <f>H203-I203</f>
        <v/>
      </c>
      <c r="K203" s="428">
        <f>K202+J203</f>
        <v/>
      </c>
    </row>
    <row r="204">
      <c r="G204" s="153">
        <f>G203+1</f>
        <v/>
      </c>
      <c r="H204" s="427">
        <f>PMT($D$5/12,$D$7,$D$4)</f>
        <v/>
      </c>
      <c r="I204" s="114">
        <f>-K203*$D$6</f>
        <v/>
      </c>
      <c r="J204" s="428">
        <f>H204-I204</f>
        <v/>
      </c>
      <c r="K204" s="428">
        <f>K203+J204</f>
        <v/>
      </c>
    </row>
    <row r="205">
      <c r="G205" s="153">
        <f>G204+1</f>
        <v/>
      </c>
      <c r="H205" s="427">
        <f>PMT($D$5/12,$D$7,$D$4)</f>
        <v/>
      </c>
      <c r="I205" s="114">
        <f>-K204*$D$6</f>
        <v/>
      </c>
      <c r="J205" s="428">
        <f>H205-I205</f>
        <v/>
      </c>
      <c r="K205" s="428">
        <f>K204+J205</f>
        <v/>
      </c>
    </row>
    <row r="206">
      <c r="G206" s="153">
        <f>G205+1</f>
        <v/>
      </c>
      <c r="H206" s="427">
        <f>PMT($D$5/12,$D$7,$D$4)</f>
        <v/>
      </c>
      <c r="I206" s="114">
        <f>-K205*$D$6</f>
        <v/>
      </c>
      <c r="J206" s="428">
        <f>H206-I206</f>
        <v/>
      </c>
      <c r="K206" s="428">
        <f>K205+J206</f>
        <v/>
      </c>
    </row>
    <row r="207">
      <c r="G207" s="153">
        <f>G206+1</f>
        <v/>
      </c>
      <c r="H207" s="427">
        <f>PMT($D$5/12,$D$7,$D$4)</f>
        <v/>
      </c>
      <c r="I207" s="114">
        <f>-K206*$D$6</f>
        <v/>
      </c>
      <c r="J207" s="428">
        <f>H207-I207</f>
        <v/>
      </c>
      <c r="K207" s="428">
        <f>K206+J207</f>
        <v/>
      </c>
    </row>
    <row r="208">
      <c r="G208" s="153">
        <f>G207+1</f>
        <v/>
      </c>
      <c r="H208" s="427">
        <f>PMT($D$5/12,$D$7,$D$4)</f>
        <v/>
      </c>
      <c r="I208" s="114">
        <f>-K207*$D$6</f>
        <v/>
      </c>
      <c r="J208" s="428">
        <f>H208-I208</f>
        <v/>
      </c>
      <c r="K208" s="428">
        <f>K207+J208</f>
        <v/>
      </c>
    </row>
    <row r="209">
      <c r="G209" s="153">
        <f>G208+1</f>
        <v/>
      </c>
      <c r="H209" s="427">
        <f>PMT($D$5/12,$D$7,$D$4)</f>
        <v/>
      </c>
      <c r="I209" s="114">
        <f>-K208*$D$6</f>
        <v/>
      </c>
      <c r="J209" s="428">
        <f>H209-I209</f>
        <v/>
      </c>
      <c r="K209" s="428">
        <f>K208+J209</f>
        <v/>
      </c>
    </row>
    <row r="210">
      <c r="G210" s="153">
        <f>G209+1</f>
        <v/>
      </c>
      <c r="H210" s="427">
        <f>PMT($D$5/12,$D$7,$D$4)</f>
        <v/>
      </c>
      <c r="I210" s="114">
        <f>-K209*$D$6</f>
        <v/>
      </c>
      <c r="J210" s="428">
        <f>H210-I210</f>
        <v/>
      </c>
      <c r="K210" s="428">
        <f>K209+J210</f>
        <v/>
      </c>
    </row>
    <row r="211">
      <c r="G211" s="153">
        <f>G210+1</f>
        <v/>
      </c>
      <c r="H211" s="427">
        <f>PMT($D$5/12,$D$7,$D$4)</f>
        <v/>
      </c>
      <c r="I211" s="114">
        <f>-K210*$D$6</f>
        <v/>
      </c>
      <c r="J211" s="428">
        <f>H211-I211</f>
        <v/>
      </c>
      <c r="K211" s="428">
        <f>K210+J211</f>
        <v/>
      </c>
    </row>
    <row r="212">
      <c r="G212" s="153">
        <f>G211+1</f>
        <v/>
      </c>
      <c r="H212" s="427">
        <f>PMT($D$5/12,$D$7,$D$4)</f>
        <v/>
      </c>
      <c r="I212" s="114">
        <f>-K211*$D$6</f>
        <v/>
      </c>
      <c r="J212" s="428">
        <f>H212-I212</f>
        <v/>
      </c>
      <c r="K212" s="428">
        <f>K211+J212</f>
        <v/>
      </c>
    </row>
    <row r="213">
      <c r="G213" s="153">
        <f>G212+1</f>
        <v/>
      </c>
      <c r="H213" s="427">
        <f>PMT($D$5/12,$D$7,$D$4)</f>
        <v/>
      </c>
      <c r="I213" s="114">
        <f>-K212*$D$6</f>
        <v/>
      </c>
      <c r="J213" s="428">
        <f>H213-I213</f>
        <v/>
      </c>
      <c r="K213" s="428">
        <f>K212+J213</f>
        <v/>
      </c>
    </row>
    <row r="214">
      <c r="G214" s="153">
        <f>G213+1</f>
        <v/>
      </c>
      <c r="H214" s="427">
        <f>PMT($D$5/12,$D$7,$D$4)</f>
        <v/>
      </c>
      <c r="I214" s="114">
        <f>-K213*$D$6</f>
        <v/>
      </c>
      <c r="J214" s="428">
        <f>H214-I214</f>
        <v/>
      </c>
      <c r="K214" s="428">
        <f>K213+J214</f>
        <v/>
      </c>
    </row>
    <row r="215">
      <c r="G215" s="153">
        <f>G214+1</f>
        <v/>
      </c>
      <c r="H215" s="427">
        <f>PMT($D$5/12,$D$7,$D$4)</f>
        <v/>
      </c>
      <c r="I215" s="114">
        <f>-K214*$D$6</f>
        <v/>
      </c>
      <c r="J215" s="428">
        <f>H215-I215</f>
        <v/>
      </c>
      <c r="K215" s="428">
        <f>K214+J215</f>
        <v/>
      </c>
    </row>
    <row r="216">
      <c r="G216" s="153">
        <f>G215+1</f>
        <v/>
      </c>
      <c r="H216" s="427">
        <f>PMT($D$5/12,$D$7,$D$4)</f>
        <v/>
      </c>
      <c r="I216" s="114">
        <f>-K215*$D$6</f>
        <v/>
      </c>
      <c r="J216" s="428">
        <f>H216-I216</f>
        <v/>
      </c>
      <c r="K216" s="428">
        <f>K215+J216</f>
        <v/>
      </c>
    </row>
    <row r="217">
      <c r="G217" s="153">
        <f>G216+1</f>
        <v/>
      </c>
      <c r="H217" s="427">
        <f>PMT($D$5/12,$D$7,$D$4)</f>
        <v/>
      </c>
      <c r="I217" s="114">
        <f>-K216*$D$6</f>
        <v/>
      </c>
      <c r="J217" s="428">
        <f>H217-I217</f>
        <v/>
      </c>
      <c r="K217" s="428">
        <f>K216+J217</f>
        <v/>
      </c>
    </row>
    <row r="218">
      <c r="G218" s="153">
        <f>G217+1</f>
        <v/>
      </c>
      <c r="H218" s="427">
        <f>PMT($D$5/12,$D$7,$D$4)</f>
        <v/>
      </c>
      <c r="I218" s="114">
        <f>-K217*$D$6</f>
        <v/>
      </c>
      <c r="J218" s="428">
        <f>H218-I218</f>
        <v/>
      </c>
      <c r="K218" s="428">
        <f>K217+J218</f>
        <v/>
      </c>
    </row>
    <row r="219">
      <c r="G219" s="153">
        <f>G218+1</f>
        <v/>
      </c>
      <c r="H219" s="427">
        <f>PMT($D$5/12,$D$7,$D$4)</f>
        <v/>
      </c>
      <c r="I219" s="114">
        <f>-K218*$D$6</f>
        <v/>
      </c>
      <c r="J219" s="428">
        <f>H219-I219</f>
        <v/>
      </c>
      <c r="K219" s="428">
        <f>K218+J219</f>
        <v/>
      </c>
    </row>
    <row r="220">
      <c r="G220" s="153">
        <f>G219+1</f>
        <v/>
      </c>
      <c r="H220" s="427">
        <f>PMT($D$5/12,$D$7,$D$4)</f>
        <v/>
      </c>
      <c r="I220" s="114">
        <f>-K219*$D$6</f>
        <v/>
      </c>
      <c r="J220" s="428">
        <f>H220-I220</f>
        <v/>
      </c>
      <c r="K220" s="428">
        <f>K219+J220</f>
        <v/>
      </c>
    </row>
    <row r="221">
      <c r="G221" s="153">
        <f>G220+1</f>
        <v/>
      </c>
      <c r="H221" s="427">
        <f>PMT($D$5/12,$D$7,$D$4)</f>
        <v/>
      </c>
      <c r="I221" s="114">
        <f>-K220*$D$6</f>
        <v/>
      </c>
      <c r="J221" s="428">
        <f>H221-I221</f>
        <v/>
      </c>
      <c r="K221" s="428">
        <f>K220+J221</f>
        <v/>
      </c>
    </row>
    <row r="222">
      <c r="G222" s="153">
        <f>G221+1</f>
        <v/>
      </c>
      <c r="H222" s="427">
        <f>PMT($D$5/12,$D$7,$D$4)</f>
        <v/>
      </c>
      <c r="I222" s="114">
        <f>-K221*$D$6</f>
        <v/>
      </c>
      <c r="J222" s="428">
        <f>H222-I222</f>
        <v/>
      </c>
      <c r="K222" s="428">
        <f>K221+J222</f>
        <v/>
      </c>
    </row>
    <row r="223">
      <c r="G223" s="153">
        <f>G222+1</f>
        <v/>
      </c>
      <c r="H223" s="427">
        <f>PMT($D$5/12,$D$7,$D$4)</f>
        <v/>
      </c>
      <c r="I223" s="114">
        <f>-K222*$D$6</f>
        <v/>
      </c>
      <c r="J223" s="428">
        <f>H223-I223</f>
        <v/>
      </c>
      <c r="K223" s="428">
        <f>K222+J223</f>
        <v/>
      </c>
    </row>
    <row r="224">
      <c r="G224" s="153">
        <f>G223+1</f>
        <v/>
      </c>
      <c r="H224" s="427">
        <f>PMT($D$5/12,$D$7,$D$4)</f>
        <v/>
      </c>
      <c r="I224" s="114">
        <f>-K223*$D$6</f>
        <v/>
      </c>
      <c r="J224" s="428">
        <f>H224-I224</f>
        <v/>
      </c>
      <c r="K224" s="428">
        <f>K223+J224</f>
        <v/>
      </c>
    </row>
    <row r="225">
      <c r="G225" s="153">
        <f>G224+1</f>
        <v/>
      </c>
      <c r="H225" s="427">
        <f>PMT($D$5/12,$D$7,$D$4)</f>
        <v/>
      </c>
      <c r="I225" s="114">
        <f>-K224*$D$6</f>
        <v/>
      </c>
      <c r="J225" s="428">
        <f>H225-I225</f>
        <v/>
      </c>
      <c r="K225" s="428">
        <f>K224+J225</f>
        <v/>
      </c>
    </row>
    <row r="226">
      <c r="G226" s="153">
        <f>G225+1</f>
        <v/>
      </c>
      <c r="H226" s="427">
        <f>PMT($D$5/12,$D$7,$D$4)</f>
        <v/>
      </c>
      <c r="I226" s="114">
        <f>-K225*$D$6</f>
        <v/>
      </c>
      <c r="J226" s="428">
        <f>H226-I226</f>
        <v/>
      </c>
      <c r="K226" s="428">
        <f>K225+J226</f>
        <v/>
      </c>
    </row>
    <row r="227">
      <c r="G227" s="153">
        <f>G226+1</f>
        <v/>
      </c>
      <c r="H227" s="427">
        <f>PMT($D$5/12,$D$7,$D$4)</f>
        <v/>
      </c>
      <c r="I227" s="114">
        <f>-K226*$D$6</f>
        <v/>
      </c>
      <c r="J227" s="428">
        <f>H227-I227</f>
        <v/>
      </c>
      <c r="K227" s="428">
        <f>K226+J227</f>
        <v/>
      </c>
    </row>
    <row r="228">
      <c r="G228" s="153">
        <f>G227+1</f>
        <v/>
      </c>
      <c r="H228" s="427">
        <f>PMT($D$5/12,$D$7,$D$4)</f>
        <v/>
      </c>
      <c r="I228" s="114">
        <f>-K227*$D$6</f>
        <v/>
      </c>
      <c r="J228" s="428">
        <f>H228-I228</f>
        <v/>
      </c>
      <c r="K228" s="428">
        <f>K227+J228</f>
        <v/>
      </c>
    </row>
    <row r="229">
      <c r="G229" s="153">
        <f>G228+1</f>
        <v/>
      </c>
      <c r="H229" s="427">
        <f>PMT($D$5/12,$D$7,$D$4)</f>
        <v/>
      </c>
      <c r="I229" s="114">
        <f>-K228*$D$6</f>
        <v/>
      </c>
      <c r="J229" s="428">
        <f>H229-I229</f>
        <v/>
      </c>
      <c r="K229" s="428">
        <f>K228+J229</f>
        <v/>
      </c>
    </row>
    <row r="230">
      <c r="G230" s="153">
        <f>G229+1</f>
        <v/>
      </c>
      <c r="H230" s="427">
        <f>PMT($D$5/12,$D$7,$D$4)</f>
        <v/>
      </c>
      <c r="I230" s="114">
        <f>-K229*$D$6</f>
        <v/>
      </c>
      <c r="J230" s="428">
        <f>H230-I230</f>
        <v/>
      </c>
      <c r="K230" s="428">
        <f>K229+J230</f>
        <v/>
      </c>
    </row>
    <row r="231">
      <c r="G231" s="153">
        <f>G230+1</f>
        <v/>
      </c>
      <c r="H231" s="427">
        <f>PMT($D$5/12,$D$7,$D$4)</f>
        <v/>
      </c>
      <c r="I231" s="114">
        <f>-K230*$D$6</f>
        <v/>
      </c>
      <c r="J231" s="428">
        <f>H231-I231</f>
        <v/>
      </c>
      <c r="K231" s="428">
        <f>K230+J231</f>
        <v/>
      </c>
    </row>
    <row r="232">
      <c r="G232" s="153">
        <f>G231+1</f>
        <v/>
      </c>
      <c r="H232" s="427">
        <f>PMT($D$5/12,$D$7,$D$4)</f>
        <v/>
      </c>
      <c r="I232" s="114">
        <f>-K231*$D$6</f>
        <v/>
      </c>
      <c r="J232" s="428">
        <f>H232-I232</f>
        <v/>
      </c>
      <c r="K232" s="428">
        <f>K231+J232</f>
        <v/>
      </c>
    </row>
    <row r="233">
      <c r="G233" s="153">
        <f>G232+1</f>
        <v/>
      </c>
      <c r="H233" s="427">
        <f>PMT($D$5/12,$D$7,$D$4)</f>
        <v/>
      </c>
      <c r="I233" s="114">
        <f>-K232*$D$6</f>
        <v/>
      </c>
      <c r="J233" s="428">
        <f>H233-I233</f>
        <v/>
      </c>
      <c r="K233" s="428">
        <f>K232+J233</f>
        <v/>
      </c>
    </row>
    <row r="234">
      <c r="G234" s="153">
        <f>G233+1</f>
        <v/>
      </c>
      <c r="H234" s="427">
        <f>PMT($D$5/12,$D$7,$D$4)</f>
        <v/>
      </c>
      <c r="I234" s="114">
        <f>-K233*$D$6</f>
        <v/>
      </c>
      <c r="J234" s="428">
        <f>H234-I234</f>
        <v/>
      </c>
      <c r="K234" s="428">
        <f>K233+J234</f>
        <v/>
      </c>
    </row>
    <row r="235">
      <c r="G235" s="153">
        <f>G234+1</f>
        <v/>
      </c>
      <c r="H235" s="427">
        <f>PMT($D$5/12,$D$7,$D$4)</f>
        <v/>
      </c>
      <c r="I235" s="114">
        <f>-K234*$D$6</f>
        <v/>
      </c>
      <c r="J235" s="428">
        <f>H235-I235</f>
        <v/>
      </c>
      <c r="K235" s="428">
        <f>K234+J235</f>
        <v/>
      </c>
    </row>
    <row r="236">
      <c r="G236" s="153">
        <f>G235+1</f>
        <v/>
      </c>
      <c r="H236" s="427">
        <f>PMT($D$5/12,$D$7,$D$4)</f>
        <v/>
      </c>
      <c r="I236" s="114">
        <f>-K235*$D$6</f>
        <v/>
      </c>
      <c r="J236" s="428">
        <f>H236-I236</f>
        <v/>
      </c>
      <c r="K236" s="428">
        <f>K235+J236</f>
        <v/>
      </c>
    </row>
    <row r="237">
      <c r="G237" s="153">
        <f>G236+1</f>
        <v/>
      </c>
      <c r="H237" s="427">
        <f>PMT($D$5/12,$D$7,$D$4)</f>
        <v/>
      </c>
      <c r="I237" s="114">
        <f>-K236*$D$6</f>
        <v/>
      </c>
      <c r="J237" s="428">
        <f>H237-I237</f>
        <v/>
      </c>
      <c r="K237" s="428">
        <f>K236+J237</f>
        <v/>
      </c>
    </row>
    <row r="238">
      <c r="G238" s="153">
        <f>G237+1</f>
        <v/>
      </c>
      <c r="H238" s="427">
        <f>PMT($D$5/12,$D$7,$D$4)</f>
        <v/>
      </c>
      <c r="I238" s="114">
        <f>-K237*$D$6</f>
        <v/>
      </c>
      <c r="J238" s="428">
        <f>H238-I238</f>
        <v/>
      </c>
      <c r="K238" s="428">
        <f>K237+J238</f>
        <v/>
      </c>
    </row>
    <row r="239">
      <c r="G239" s="153">
        <f>G238+1</f>
        <v/>
      </c>
      <c r="H239" s="427">
        <f>PMT($D$5/12,$D$7,$D$4)</f>
        <v/>
      </c>
      <c r="I239" s="114">
        <f>-K238*$D$6</f>
        <v/>
      </c>
      <c r="J239" s="428">
        <f>H239-I239</f>
        <v/>
      </c>
      <c r="K239" s="428">
        <f>K238+J239</f>
        <v/>
      </c>
    </row>
    <row r="240">
      <c r="G240" s="153">
        <f>G239+1</f>
        <v/>
      </c>
      <c r="H240" s="427">
        <f>PMT($D$5/12,$D$7,$D$4)</f>
        <v/>
      </c>
      <c r="I240" s="114">
        <f>-K239*$D$6</f>
        <v/>
      </c>
      <c r="J240" s="428">
        <f>H240-I240</f>
        <v/>
      </c>
      <c r="K240" s="428">
        <f>K239+J240</f>
        <v/>
      </c>
    </row>
    <row r="241">
      <c r="G241" s="153">
        <f>G240+1</f>
        <v/>
      </c>
      <c r="H241" s="427">
        <f>PMT($D$5/12,$D$7,$D$4)</f>
        <v/>
      </c>
      <c r="I241" s="114">
        <f>-K240*$D$6</f>
        <v/>
      </c>
      <c r="J241" s="428">
        <f>H241-I241</f>
        <v/>
      </c>
      <c r="K241" s="428">
        <f>K240+J241</f>
        <v/>
      </c>
    </row>
    <row r="242">
      <c r="G242" s="153">
        <f>G241+1</f>
        <v/>
      </c>
      <c r="H242" s="427">
        <f>PMT($D$5/12,$D$7,$D$4)</f>
        <v/>
      </c>
      <c r="I242" s="114">
        <f>-K241*$D$6</f>
        <v/>
      </c>
      <c r="J242" s="428">
        <f>H242-I242</f>
        <v/>
      </c>
      <c r="K242" s="428">
        <f>K241+J242</f>
        <v/>
      </c>
    </row>
    <row r="243">
      <c r="G243" s="153">
        <f>G242+1</f>
        <v/>
      </c>
      <c r="H243" s="427">
        <f>PMT($D$5/12,$D$7,$D$4)</f>
        <v/>
      </c>
      <c r="I243" s="114">
        <f>-K242*$D$6</f>
        <v/>
      </c>
      <c r="J243" s="428">
        <f>H243-I243</f>
        <v/>
      </c>
      <c r="K243" s="428">
        <f>K242+J243</f>
        <v/>
      </c>
    </row>
    <row r="244">
      <c r="G244" s="153">
        <f>G243+1</f>
        <v/>
      </c>
      <c r="H244" s="427">
        <f>PMT($D$5/12,$D$7,$D$4)</f>
        <v/>
      </c>
      <c r="I244" s="114">
        <f>-K243*$D$6</f>
        <v/>
      </c>
      <c r="J244" s="428">
        <f>H244-I244</f>
        <v/>
      </c>
      <c r="K244" s="428">
        <f>K243+J244</f>
        <v/>
      </c>
    </row>
    <row r="245">
      <c r="G245" s="153">
        <f>G244+1</f>
        <v/>
      </c>
      <c r="H245" s="427">
        <f>PMT($D$5/12,$D$7,$D$4)</f>
        <v/>
      </c>
      <c r="I245" s="114">
        <f>-K244*$D$6</f>
        <v/>
      </c>
      <c r="J245" s="428">
        <f>H245-I245</f>
        <v/>
      </c>
      <c r="K245" s="428">
        <f>K244+J245</f>
        <v/>
      </c>
    </row>
    <row r="246">
      <c r="G246" s="153">
        <f>G245+1</f>
        <v/>
      </c>
      <c r="H246" s="427">
        <f>PMT($D$5/12,$D$7,$D$4)</f>
        <v/>
      </c>
      <c r="I246" s="114">
        <f>-K245*$D$6</f>
        <v/>
      </c>
      <c r="J246" s="428">
        <f>H246-I246</f>
        <v/>
      </c>
      <c r="K246" s="428">
        <f>K245+J246</f>
        <v/>
      </c>
    </row>
    <row r="247">
      <c r="E247" t="inlineStr">
        <is>
          <t>20 AÑOS</t>
        </is>
      </c>
      <c r="G247" s="153">
        <f>G246+1</f>
        <v/>
      </c>
      <c r="H247" s="427">
        <f>PMT($D$5/12,$D$7,$D$4)</f>
        <v/>
      </c>
      <c r="I247" s="114">
        <f>-K246*$D$6</f>
        <v/>
      </c>
      <c r="J247" s="428">
        <f>H247-I247</f>
        <v/>
      </c>
      <c r="K247" s="428">
        <f>K246+J247</f>
        <v/>
      </c>
    </row>
    <row r="248">
      <c r="G248" s="131" t="n"/>
    </row>
    <row r="249">
      <c r="G249" s="131" t="n"/>
    </row>
    <row r="250">
      <c r="G250" s="131" t="n"/>
    </row>
    <row r="251">
      <c r="G251" s="131" t="n"/>
    </row>
    <row r="252">
      <c r="G252" s="131" t="n"/>
    </row>
    <row r="253">
      <c r="G253" s="131" t="n"/>
    </row>
    <row r="254">
      <c r="G254" s="131" t="n"/>
    </row>
    <row r="255">
      <c r="G255" s="131" t="n"/>
    </row>
    <row r="256">
      <c r="G256" s="131" t="n"/>
    </row>
    <row r="257">
      <c r="G257" s="131" t="n"/>
    </row>
    <row r="258">
      <c r="G258" s="131" t="n"/>
    </row>
    <row r="259">
      <c r="G259" s="131" t="n"/>
    </row>
    <row r="260">
      <c r="G260" s="131" t="n"/>
    </row>
    <row r="261">
      <c r="G261" s="131" t="n"/>
    </row>
    <row r="262">
      <c r="G262" s="131" t="n"/>
    </row>
    <row r="263">
      <c r="G263" s="131" t="n"/>
    </row>
    <row r="264">
      <c r="G264" s="131" t="n"/>
    </row>
    <row r="265">
      <c r="G265" s="131" t="n"/>
    </row>
    <row r="266">
      <c r="G266" s="131" t="n"/>
    </row>
    <row r="267">
      <c r="G267" s="131" t="n"/>
    </row>
    <row r="268">
      <c r="G268" s="131" t="n"/>
    </row>
    <row r="269">
      <c r="G269" s="131" t="n"/>
    </row>
    <row r="270">
      <c r="G270" s="131" t="n"/>
    </row>
    <row r="271">
      <c r="G271" s="131" t="n"/>
    </row>
    <row r="272">
      <c r="G272" s="131" t="n"/>
    </row>
    <row r="273">
      <c r="G273" s="131" t="n"/>
    </row>
    <row r="274">
      <c r="G274" s="131" t="n"/>
    </row>
    <row r="275">
      <c r="G275" s="131" t="n"/>
    </row>
    <row r="276">
      <c r="G276" s="131" t="n"/>
    </row>
    <row r="277">
      <c r="G277" s="131" t="n"/>
    </row>
    <row r="278">
      <c r="G278" s="131" t="n"/>
    </row>
    <row r="279">
      <c r="G279" s="131" t="n"/>
    </row>
    <row r="280">
      <c r="G280" s="131" t="n"/>
    </row>
    <row r="281">
      <c r="G281" s="131" t="n"/>
    </row>
    <row r="282">
      <c r="G282" s="131" t="n"/>
    </row>
    <row r="283">
      <c r="G283" s="131" t="n"/>
    </row>
    <row r="284">
      <c r="G284" s="131" t="n"/>
    </row>
    <row r="285">
      <c r="G285" s="131" t="n"/>
      <c r="H285" s="386" t="n"/>
      <c r="I285" s="18" t="n"/>
      <c r="J285" s="290" t="n"/>
      <c r="K285" s="290" t="n"/>
    </row>
    <row r="286">
      <c r="G286" s="131" t="n"/>
      <c r="H286" s="386" t="n"/>
      <c r="I286" s="18" t="n"/>
      <c r="J286" s="290" t="n"/>
      <c r="K286" s="290" t="n"/>
    </row>
    <row r="287">
      <c r="G287" s="131" t="n"/>
      <c r="H287" s="386" t="n"/>
      <c r="I287" s="18" t="n"/>
      <c r="J287" s="290" t="n"/>
      <c r="K287" s="290" t="n"/>
    </row>
    <row r="288">
      <c r="G288" s="131" t="n"/>
      <c r="H288" s="386" t="n"/>
      <c r="I288" s="18" t="n"/>
      <c r="J288" s="290" t="n"/>
      <c r="K288" s="290" t="n"/>
    </row>
    <row r="289">
      <c r="H289" s="386" t="n"/>
      <c r="I289" s="18" t="n"/>
      <c r="J289" s="290" t="n"/>
      <c r="K289" s="290" t="n"/>
    </row>
    <row r="290">
      <c r="H290" s="386" t="n"/>
      <c r="I290" s="18" t="n"/>
      <c r="J290" s="290" t="n"/>
      <c r="K290" s="290" t="n"/>
    </row>
    <row r="291">
      <c r="H291" s="386" t="n"/>
      <c r="I291" s="18" t="n"/>
      <c r="J291" s="290" t="n"/>
      <c r="K291" s="290" t="n"/>
    </row>
    <row r="292">
      <c r="H292" s="386" t="n"/>
      <c r="I292" s="18" t="n"/>
      <c r="J292" s="290" t="n"/>
      <c r="K292" s="290" t="n"/>
    </row>
    <row r="293">
      <c r="H293" s="386" t="n"/>
      <c r="I293" s="18" t="n"/>
      <c r="J293" s="290" t="n"/>
      <c r="K293" s="290" t="n"/>
    </row>
    <row r="294">
      <c r="H294" s="386" t="n"/>
      <c r="I294" s="18" t="n"/>
      <c r="J294" s="290" t="n"/>
      <c r="K294" s="290" t="n"/>
    </row>
    <row r="295">
      <c r="H295" s="386" t="n"/>
      <c r="I295" s="18" t="n"/>
      <c r="J295" s="290" t="n"/>
      <c r="K295" s="290" t="n"/>
    </row>
    <row r="296">
      <c r="H296" s="386" t="n"/>
      <c r="I296" s="18" t="n"/>
      <c r="J296" s="290" t="n"/>
      <c r="K296" s="290" t="n"/>
    </row>
    <row r="297">
      <c r="H297" s="386" t="n"/>
      <c r="I297" s="18" t="n"/>
      <c r="J297" s="290" t="n"/>
      <c r="K297" s="290" t="n"/>
    </row>
    <row r="298">
      <c r="H298" s="386" t="n"/>
      <c r="I298" s="18" t="n"/>
      <c r="J298" s="290" t="n"/>
      <c r="K298" s="290" t="n"/>
    </row>
    <row r="299">
      <c r="H299" s="386" t="n"/>
      <c r="I299" s="18" t="n"/>
      <c r="J299" s="290" t="n"/>
      <c r="K299" s="290" t="n"/>
    </row>
    <row r="300">
      <c r="H300" s="386" t="n"/>
      <c r="I300" s="18" t="n"/>
      <c r="J300" s="290" t="n"/>
      <c r="K300" s="290" t="n"/>
    </row>
    <row r="301">
      <c r="H301" s="386" t="n"/>
      <c r="I301" s="18" t="n"/>
      <c r="J301" s="290" t="n"/>
      <c r="K301" s="290" t="n"/>
    </row>
    <row r="302">
      <c r="H302" s="386" t="n"/>
      <c r="I302" s="18" t="n"/>
      <c r="J302" s="290" t="n"/>
      <c r="K302" s="290" t="n"/>
    </row>
    <row r="303">
      <c r="H303" s="386" t="n"/>
      <c r="I303" s="18" t="n"/>
      <c r="J303" s="290" t="n"/>
      <c r="K303" s="290" t="n"/>
    </row>
    <row r="304">
      <c r="H304" s="386" t="n"/>
      <c r="I304" s="18" t="n"/>
      <c r="J304" s="290" t="n"/>
      <c r="K304" s="290" t="n"/>
    </row>
    <row r="305">
      <c r="H305" s="386" t="n"/>
      <c r="I305" s="18" t="n"/>
      <c r="J305" s="290" t="n"/>
      <c r="K305" s="290" t="n"/>
    </row>
    <row r="306">
      <c r="H306" s="386" t="n"/>
      <c r="I306" s="18" t="n"/>
      <c r="J306" s="290" t="n"/>
      <c r="K306" s="290" t="n"/>
    </row>
    <row r="307">
      <c r="H307" s="386" t="n"/>
      <c r="I307" s="18" t="n"/>
      <c r="J307" s="290" t="n"/>
      <c r="K307" s="290" t="n"/>
    </row>
    <row r="308">
      <c r="H308" s="386" t="n"/>
      <c r="I308" s="18" t="n"/>
      <c r="J308" s="290" t="n"/>
      <c r="K308" s="290" t="n"/>
    </row>
    <row r="309">
      <c r="H309" s="386" t="n"/>
      <c r="I309" s="18" t="n"/>
      <c r="J309" s="290" t="n"/>
      <c r="K309" s="290" t="n"/>
    </row>
    <row r="310">
      <c r="H310" s="386" t="n"/>
      <c r="I310" s="18" t="n"/>
      <c r="J310" s="290" t="n"/>
      <c r="K310" s="290" t="n"/>
    </row>
    <row r="311">
      <c r="H311" s="386" t="n"/>
      <c r="I311" s="18" t="n"/>
      <c r="J311" s="290" t="n"/>
      <c r="K311" s="290" t="n"/>
    </row>
    <row r="312">
      <c r="H312" s="386" t="n"/>
      <c r="I312" s="18" t="n"/>
      <c r="J312" s="290" t="n"/>
      <c r="K312" s="290" t="n"/>
    </row>
    <row r="313">
      <c r="H313" s="386" t="n"/>
      <c r="I313" s="18" t="n"/>
      <c r="J313" s="290" t="n"/>
      <c r="K313" s="290" t="n"/>
    </row>
    <row r="314">
      <c r="H314" s="386" t="n"/>
      <c r="I314" s="18" t="n"/>
      <c r="J314" s="290" t="n"/>
      <c r="K314" s="290" t="n"/>
    </row>
    <row r="315">
      <c r="H315" s="386" t="n"/>
      <c r="I315" s="18" t="n"/>
      <c r="J315" s="290" t="n"/>
      <c r="K315" s="290" t="n"/>
    </row>
    <row r="316">
      <c r="H316" s="386" t="n"/>
      <c r="I316" s="18" t="n"/>
      <c r="J316" s="290" t="n"/>
      <c r="K316" s="290" t="n"/>
    </row>
    <row r="317">
      <c r="H317" s="386" t="n"/>
      <c r="I317" s="18" t="n"/>
      <c r="J317" s="290" t="n"/>
      <c r="K317" s="290" t="n"/>
    </row>
    <row r="318">
      <c r="H318" s="386" t="n"/>
      <c r="I318" s="18" t="n"/>
      <c r="J318" s="290" t="n"/>
      <c r="K318" s="290" t="n"/>
    </row>
    <row r="319">
      <c r="H319" s="386" t="n"/>
      <c r="I319" s="18" t="n"/>
      <c r="J319" s="290" t="n"/>
      <c r="K319" s="290" t="n"/>
    </row>
    <row r="320">
      <c r="H320" s="386" t="n"/>
      <c r="I320" s="18" t="n"/>
      <c r="J320" s="290" t="n"/>
      <c r="K320" s="290" t="n"/>
    </row>
    <row r="321">
      <c r="H321" s="386" t="n"/>
      <c r="I321" s="18" t="n"/>
      <c r="J321" s="290" t="n"/>
      <c r="K321" s="290" t="n"/>
    </row>
    <row r="322">
      <c r="H322" s="386" t="n"/>
      <c r="I322" s="18" t="n"/>
      <c r="J322" s="290" t="n"/>
      <c r="K322" s="290" t="n"/>
    </row>
    <row r="323">
      <c r="H323" s="386" t="n"/>
      <c r="I323" s="18" t="n"/>
      <c r="J323" s="290" t="n"/>
      <c r="K323" s="290" t="n"/>
    </row>
    <row r="324">
      <c r="H324" s="386" t="n"/>
      <c r="I324" s="18" t="n"/>
      <c r="J324" s="290" t="n"/>
      <c r="K324" s="290" t="n"/>
    </row>
    <row r="325">
      <c r="H325" s="386" t="n"/>
      <c r="I325" s="18" t="n"/>
      <c r="J325" s="290" t="n"/>
      <c r="K325" s="290" t="n"/>
    </row>
    <row r="326">
      <c r="H326" s="386" t="n"/>
      <c r="I326" s="18" t="n"/>
      <c r="J326" s="290" t="n"/>
      <c r="K326" s="290" t="n"/>
    </row>
    <row r="327">
      <c r="H327" s="386" t="n"/>
      <c r="I327" s="18" t="n"/>
      <c r="J327" s="290" t="n"/>
      <c r="K327" s="290" t="n"/>
    </row>
    <row r="328">
      <c r="H328" s="386" t="n"/>
      <c r="I328" s="18" t="n"/>
      <c r="J328" s="290" t="n"/>
      <c r="K328" s="290" t="n"/>
    </row>
    <row r="329">
      <c r="H329" s="386" t="n"/>
      <c r="I329" s="18" t="n"/>
      <c r="J329" s="290" t="n"/>
      <c r="K329" s="290" t="n"/>
    </row>
    <row r="330">
      <c r="H330" s="386" t="n"/>
      <c r="I330" s="18" t="n"/>
      <c r="J330" s="290" t="n"/>
      <c r="K330" s="290" t="n"/>
    </row>
    <row r="331">
      <c r="H331" s="386" t="n"/>
      <c r="I331" s="18" t="n"/>
      <c r="J331" s="290" t="n"/>
      <c r="K331" s="290" t="n"/>
    </row>
    <row r="332">
      <c r="H332" s="386" t="n"/>
      <c r="I332" s="18" t="n"/>
      <c r="J332" s="290" t="n"/>
      <c r="K332" s="290" t="n"/>
    </row>
    <row r="333">
      <c r="H333" s="386" t="n"/>
      <c r="I333" s="18" t="n"/>
      <c r="J333" s="290" t="n"/>
      <c r="K333" s="290" t="n"/>
    </row>
    <row r="334">
      <c r="H334" s="386" t="n"/>
      <c r="I334" s="18" t="n"/>
      <c r="J334" s="290" t="n"/>
      <c r="K334" s="290" t="n"/>
    </row>
    <row r="335">
      <c r="H335" s="386" t="n"/>
      <c r="I335" s="18" t="n"/>
      <c r="J335" s="290" t="n"/>
      <c r="K335" s="290" t="n"/>
    </row>
    <row r="336">
      <c r="H336" s="386" t="n"/>
      <c r="I336" s="18" t="n"/>
      <c r="J336" s="290" t="n"/>
      <c r="K336" s="290" t="n"/>
    </row>
    <row r="337">
      <c r="H337" s="386" t="n"/>
      <c r="I337" s="18" t="n"/>
      <c r="J337" s="290" t="n"/>
      <c r="K337" s="290" t="n"/>
    </row>
    <row r="338">
      <c r="H338" s="386" t="n"/>
      <c r="I338" s="18" t="n"/>
      <c r="J338" s="290" t="n"/>
      <c r="K338" s="290" t="n"/>
    </row>
    <row r="339">
      <c r="H339" s="386" t="n"/>
      <c r="I339" s="18" t="n"/>
      <c r="J339" s="290" t="n"/>
      <c r="K339" s="290" t="n"/>
    </row>
    <row r="340">
      <c r="H340" s="386" t="n"/>
      <c r="I340" s="18" t="n"/>
      <c r="J340" s="290" t="n"/>
      <c r="K340" s="290" t="n"/>
    </row>
    <row r="341">
      <c r="H341" s="386" t="n"/>
      <c r="I341" s="18" t="n"/>
      <c r="J341" s="290" t="n"/>
      <c r="K341" s="290" t="n"/>
    </row>
    <row r="342">
      <c r="H342" s="386" t="n"/>
      <c r="I342" s="18" t="n"/>
      <c r="J342" s="290" t="n"/>
      <c r="K342" s="290" t="n"/>
    </row>
    <row r="343">
      <c r="H343" s="386" t="n"/>
      <c r="I343" s="18" t="n"/>
      <c r="J343" s="290" t="n"/>
      <c r="K343" s="290" t="n"/>
    </row>
    <row r="344">
      <c r="H344" s="386" t="n"/>
      <c r="I344" s="18" t="n"/>
      <c r="J344" s="290" t="n"/>
      <c r="K344" s="290" t="n"/>
    </row>
    <row r="345">
      <c r="H345" s="386" t="n"/>
      <c r="I345" s="18" t="n"/>
      <c r="J345" s="290" t="n"/>
      <c r="K345" s="290" t="n"/>
    </row>
    <row r="346">
      <c r="H346" s="386" t="n"/>
      <c r="I346" s="18" t="n"/>
      <c r="J346" s="290" t="n"/>
      <c r="K346" s="290" t="n"/>
    </row>
    <row r="347">
      <c r="H347" s="386" t="n"/>
      <c r="I347" s="18" t="n"/>
      <c r="J347" s="290" t="n"/>
      <c r="K347" s="290" t="n"/>
    </row>
    <row r="348">
      <c r="H348" s="386" t="n"/>
      <c r="I348" s="18" t="n"/>
      <c r="J348" s="290" t="n"/>
      <c r="K348" s="290" t="n"/>
    </row>
    <row r="349">
      <c r="H349" s="386" t="n"/>
      <c r="I349" s="18" t="n"/>
      <c r="J349" s="290" t="n"/>
      <c r="K349" s="290" t="n"/>
    </row>
    <row r="350">
      <c r="H350" s="386" t="n"/>
      <c r="I350" s="18" t="n"/>
      <c r="J350" s="290" t="n"/>
      <c r="K350" s="290" t="n"/>
    </row>
    <row r="351">
      <c r="H351" s="386" t="n"/>
      <c r="I351" s="18" t="n"/>
      <c r="J351" s="290" t="n"/>
      <c r="K351" s="290" t="n"/>
    </row>
    <row r="352">
      <c r="H352" s="386" t="n"/>
      <c r="I352" s="18" t="n"/>
      <c r="J352" s="290" t="n"/>
      <c r="K352" s="290" t="n"/>
    </row>
    <row r="353">
      <c r="H353" s="386" t="n"/>
      <c r="I353" s="18" t="n"/>
      <c r="J353" s="290" t="n"/>
      <c r="K353" s="290" t="n"/>
    </row>
    <row r="354">
      <c r="H354" s="386" t="n"/>
      <c r="I354" s="18" t="n"/>
      <c r="J354" s="290" t="n"/>
      <c r="K354" s="290" t="n"/>
    </row>
    <row r="355">
      <c r="H355" s="386" t="n"/>
      <c r="I355" s="18" t="n"/>
      <c r="J355" s="290" t="n"/>
      <c r="K355" s="290" t="n"/>
    </row>
    <row r="356">
      <c r="H356" s="386" t="n"/>
      <c r="I356" s="18" t="n"/>
      <c r="J356" s="290" t="n"/>
      <c r="K356" s="290" t="n"/>
    </row>
    <row r="357">
      <c r="H357" s="386" t="n"/>
      <c r="I357" s="18" t="n"/>
      <c r="J357" s="290" t="n"/>
      <c r="K357" s="290" t="n"/>
    </row>
    <row r="358">
      <c r="H358" s="386" t="n"/>
      <c r="I358" s="18" t="n"/>
      <c r="J358" s="290" t="n"/>
      <c r="K358" s="290" t="n"/>
    </row>
    <row r="359">
      <c r="H359" s="386" t="n"/>
      <c r="I359" s="18" t="n"/>
      <c r="J359" s="290" t="n"/>
      <c r="K359" s="290" t="n"/>
    </row>
    <row r="360">
      <c r="H360" s="386" t="n"/>
      <c r="I360" s="18" t="n"/>
      <c r="J360" s="290" t="n"/>
      <c r="K360" s="290" t="n"/>
    </row>
    <row r="361">
      <c r="H361" s="386" t="n"/>
      <c r="I361" s="18" t="n"/>
      <c r="J361" s="290" t="n"/>
      <c r="K361" s="290" t="n"/>
    </row>
    <row r="362">
      <c r="H362" s="386" t="n"/>
      <c r="I362" s="18" t="n"/>
      <c r="J362" s="290" t="n"/>
      <c r="K362" s="290" t="n"/>
    </row>
    <row r="363">
      <c r="H363" s="386" t="n"/>
      <c r="I363" s="18" t="n"/>
      <c r="J363" s="290" t="n"/>
      <c r="K363" s="290" t="n"/>
    </row>
    <row r="364">
      <c r="H364" s="386" t="n"/>
      <c r="I364" s="18" t="n"/>
      <c r="J364" s="290" t="n"/>
      <c r="K364" s="290" t="n"/>
    </row>
    <row r="365">
      <c r="H365" s="386" t="n"/>
      <c r="I365" s="18" t="n"/>
      <c r="J365" s="290" t="n"/>
      <c r="K365" s="290" t="n"/>
    </row>
    <row r="366">
      <c r="H366" s="386" t="n"/>
      <c r="I366" s="18" t="n"/>
      <c r="J366" s="290" t="n"/>
      <c r="K366" s="290" t="n"/>
    </row>
    <row r="367">
      <c r="H367" s="386" t="n"/>
      <c r="I367" s="18" t="n"/>
      <c r="J367" s="290" t="n"/>
      <c r="K367" s="290" t="n"/>
    </row>
    <row r="368" ht="15" customHeight="1" thickBot="1">
      <c r="H368" s="429">
        <f>SUM(H7:H247)</f>
        <v/>
      </c>
      <c r="I368" s="429">
        <f>SUM(I7:I247)</f>
        <v/>
      </c>
      <c r="J368" s="430">
        <f>SUM(J7:J247)</f>
        <v/>
      </c>
      <c r="K368" s="429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tabColor theme="9"/>
    <outlinePr summaryBelow="1" summaryRight="1"/>
    <pageSetUpPr/>
  </sheetPr>
  <dimension ref="A1:BL9"/>
  <sheetViews>
    <sheetView workbookViewId="0">
      <selection activeCell="A1" sqref="A1"/>
    </sheetView>
  </sheetViews>
  <sheetFormatPr baseColWidth="10" defaultRowHeight="14.4"/>
  <cols>
    <col width="14" bestFit="1" customWidth="1" min="3" max="3"/>
    <col width="6.6640625" bestFit="1" customWidth="1" min="4" max="4"/>
    <col width="6.77734375" bestFit="1" customWidth="1" min="5" max="5"/>
    <col width="7.21875" bestFit="1" customWidth="1" min="6" max="6"/>
    <col width="6.77734375" bestFit="1" customWidth="1" min="7" max="7"/>
    <col width="7.44140625" bestFit="1" customWidth="1" min="8" max="8"/>
    <col width="6.77734375" bestFit="1" customWidth="1" min="9" max="10"/>
    <col width="6.88671875" bestFit="1" customWidth="1" min="11" max="11"/>
    <col width="7.44140625" bestFit="1" customWidth="1" min="12" max="12"/>
    <col width="6.77734375" bestFit="1" customWidth="1" min="13" max="13"/>
    <col width="7" bestFit="1" customWidth="1" min="14" max="14"/>
    <col width="6.77734375" bestFit="1" customWidth="1" min="15" max="15"/>
    <col width="6.88671875" bestFit="1" customWidth="1" min="16" max="16"/>
    <col width="6.77734375" bestFit="1" customWidth="1" min="17" max="17"/>
    <col width="7.21875" bestFit="1" customWidth="1" min="18" max="18"/>
    <col width="6.77734375" bestFit="1" customWidth="1" min="19" max="19"/>
    <col width="7.44140625" bestFit="1" customWidth="1" min="20" max="20"/>
    <col width="6.77734375" bestFit="1" customWidth="1" min="21" max="22"/>
    <col width="6.88671875" bestFit="1" customWidth="1" min="23" max="23"/>
    <col width="7.44140625" bestFit="1" customWidth="1" min="24" max="24"/>
    <col width="6.77734375" bestFit="1" customWidth="1" min="25" max="25"/>
    <col width="7" bestFit="1" customWidth="1" min="26" max="26"/>
    <col width="6.77734375" bestFit="1" customWidth="1" min="27" max="27"/>
    <col width="7.88671875" bestFit="1" customWidth="1" min="28" max="63"/>
  </cols>
  <sheetData>
    <row r="1">
      <c r="A1" t="inlineStr">
        <is>
          <t xml:space="preserve">Tasa </t>
        </is>
      </c>
      <c r="B1" s="13" t="n">
        <v>0.06</v>
      </c>
    </row>
    <row r="2">
      <c r="A2" t="inlineStr">
        <is>
          <t>Monto</t>
        </is>
      </c>
      <c r="B2" s="284">
        <f>'Flujo 5 años C20'!N30</f>
        <v/>
      </c>
      <c r="D2" s="130" t="n">
        <v>46023</v>
      </c>
      <c r="E2" s="130" t="n">
        <v>46054</v>
      </c>
      <c r="F2" s="130" t="n">
        <v>46082</v>
      </c>
      <c r="G2" s="130" t="n">
        <v>46113</v>
      </c>
      <c r="H2" s="130" t="n">
        <v>46143</v>
      </c>
      <c r="I2" s="130" t="n">
        <v>46174</v>
      </c>
      <c r="J2" s="130" t="n">
        <v>46204</v>
      </c>
      <c r="K2" s="130" t="n">
        <v>46235</v>
      </c>
      <c r="L2" s="130" t="n">
        <v>46266</v>
      </c>
      <c r="M2" s="130" t="n">
        <v>46296</v>
      </c>
      <c r="N2" s="130" t="n">
        <v>46327</v>
      </c>
      <c r="O2" s="130" t="n">
        <v>46357</v>
      </c>
      <c r="P2" s="130" t="n">
        <v>46388</v>
      </c>
      <c r="Q2" s="130" t="n">
        <v>46419</v>
      </c>
      <c r="R2" s="130" t="n">
        <v>46447</v>
      </c>
      <c r="S2" s="130" t="n">
        <v>46478</v>
      </c>
      <c r="T2" s="130" t="n">
        <v>46508</v>
      </c>
      <c r="U2" s="130" t="n">
        <v>46539</v>
      </c>
      <c r="V2" s="130" t="n">
        <v>46569</v>
      </c>
      <c r="W2" s="130" t="n">
        <v>46600</v>
      </c>
      <c r="X2" s="130" t="n">
        <v>46631</v>
      </c>
      <c r="Y2" s="130" t="n">
        <v>46661</v>
      </c>
      <c r="Z2" s="130" t="n">
        <v>46692</v>
      </c>
      <c r="AA2" s="130" t="n">
        <v>46722</v>
      </c>
      <c r="AB2" s="130" t="n">
        <v>46753</v>
      </c>
      <c r="AC2" s="130" t="n">
        <v>46784</v>
      </c>
      <c r="AD2" s="130" t="n">
        <v>46813</v>
      </c>
      <c r="AE2" s="130" t="n">
        <v>46844</v>
      </c>
      <c r="AF2" s="130" t="n">
        <v>46874</v>
      </c>
      <c r="AG2" s="130" t="n">
        <v>46905</v>
      </c>
      <c r="AH2" s="130" t="n">
        <v>46935</v>
      </c>
      <c r="AI2" s="130" t="n">
        <v>46966</v>
      </c>
      <c r="AJ2" s="130" t="n">
        <v>46997</v>
      </c>
      <c r="AK2" s="130" t="n">
        <v>47027</v>
      </c>
      <c r="AL2" s="130" t="n">
        <v>47058</v>
      </c>
      <c r="AM2" s="130" t="n">
        <v>47088</v>
      </c>
      <c r="AN2" s="130" t="n">
        <v>47119</v>
      </c>
      <c r="AO2" s="130" t="n">
        <v>47150</v>
      </c>
      <c r="AP2" s="130" t="n">
        <v>47178</v>
      </c>
      <c r="AQ2" s="130" t="n">
        <v>47209</v>
      </c>
      <c r="AR2" s="130" t="n">
        <v>47239</v>
      </c>
      <c r="AS2" s="130" t="n">
        <v>47270</v>
      </c>
      <c r="AT2" s="130" t="n">
        <v>47300</v>
      </c>
      <c r="AU2" s="130" t="n">
        <v>47331</v>
      </c>
      <c r="AV2" s="130" t="n">
        <v>47362</v>
      </c>
      <c r="AW2" s="130" t="n">
        <v>47392</v>
      </c>
      <c r="AX2" s="130" t="n">
        <v>47423</v>
      </c>
      <c r="AY2" s="130" t="n">
        <v>47453</v>
      </c>
      <c r="AZ2" s="130" t="n">
        <v>47484</v>
      </c>
      <c r="BA2" s="130" t="n">
        <v>47515</v>
      </c>
      <c r="BB2" s="130" t="n">
        <v>47543</v>
      </c>
      <c r="BC2" s="130" t="n">
        <v>47574</v>
      </c>
      <c r="BD2" s="130" t="n">
        <v>47604</v>
      </c>
      <c r="BE2" s="130" t="n">
        <v>47635</v>
      </c>
      <c r="BF2" s="130" t="n">
        <v>47665</v>
      </c>
      <c r="BG2" s="130" t="n">
        <v>47696</v>
      </c>
      <c r="BH2" s="130" t="n">
        <v>47727</v>
      </c>
      <c r="BI2" s="130" t="n">
        <v>47757</v>
      </c>
      <c r="BJ2" s="130" t="n">
        <v>47788</v>
      </c>
      <c r="BK2" s="130" t="n">
        <v>47818</v>
      </c>
    </row>
    <row r="3">
      <c r="A3" t="inlineStr">
        <is>
          <t>Cuotas</t>
        </is>
      </c>
      <c r="B3" s="284" t="n"/>
      <c r="C3" s="284" t="n"/>
      <c r="D3" s="284">
        <f>'Flujo 5 años C12'!E30</f>
        <v/>
      </c>
      <c r="E3" s="284" t="n">
        <v>0</v>
      </c>
      <c r="F3" s="284" t="n">
        <v>0</v>
      </c>
      <c r="G3" s="284" t="n">
        <v>0</v>
      </c>
      <c r="H3" s="284" t="n">
        <v>0</v>
      </c>
      <c r="I3" s="284" t="n">
        <v>0</v>
      </c>
      <c r="J3" s="284" t="n">
        <v>0</v>
      </c>
      <c r="K3" s="284" t="n">
        <v>0</v>
      </c>
      <c r="L3" s="284" t="n">
        <v>0</v>
      </c>
      <c r="M3" s="284" t="n">
        <v>0</v>
      </c>
      <c r="N3" s="284" t="n">
        <v>0</v>
      </c>
      <c r="O3" s="284" t="n">
        <v>0</v>
      </c>
      <c r="P3" s="284" t="n">
        <v>0</v>
      </c>
      <c r="Q3" s="284" t="n">
        <v>0</v>
      </c>
      <c r="R3" s="284" t="n">
        <v>0</v>
      </c>
      <c r="S3" s="284" t="n">
        <v>0</v>
      </c>
      <c r="T3" s="284" t="n">
        <v>0</v>
      </c>
      <c r="U3" s="284" t="n">
        <v>0</v>
      </c>
      <c r="V3" s="284" t="n">
        <v>0</v>
      </c>
      <c r="W3" s="284" t="n">
        <v>0</v>
      </c>
      <c r="X3" s="284" t="n">
        <v>0</v>
      </c>
      <c r="Y3" s="284" t="n">
        <v>0</v>
      </c>
      <c r="Z3" s="284" t="n">
        <v>0</v>
      </c>
      <c r="AA3" s="284" t="n">
        <v>0</v>
      </c>
      <c r="AB3" s="284">
        <f>'Flujo 5 años C20'!H30</f>
        <v/>
      </c>
      <c r="AC3" s="284" t="n">
        <v>0</v>
      </c>
      <c r="AD3" s="284" t="n">
        <v>0</v>
      </c>
      <c r="AE3" s="284" t="n">
        <v>0</v>
      </c>
      <c r="AF3" s="284" t="n">
        <v>0</v>
      </c>
      <c r="AG3" s="284" t="n">
        <v>0</v>
      </c>
      <c r="AH3" s="284" t="n">
        <v>0</v>
      </c>
      <c r="AI3" s="284" t="n">
        <v>0</v>
      </c>
      <c r="AJ3" s="284" t="n">
        <v>0</v>
      </c>
      <c r="AK3" s="284" t="n">
        <v>0</v>
      </c>
      <c r="AL3" s="284" t="n">
        <v>0</v>
      </c>
      <c r="AM3" s="284" t="n">
        <v>0</v>
      </c>
      <c r="AN3" s="284">
        <f>'Flujo 5 años C20'!I30</f>
        <v/>
      </c>
      <c r="AO3" s="284" t="n">
        <v>0</v>
      </c>
      <c r="AP3" s="284" t="n">
        <v>0</v>
      </c>
      <c r="AQ3" s="284" t="n">
        <v>0</v>
      </c>
      <c r="AR3" s="284" t="n">
        <v>0</v>
      </c>
      <c r="AS3" s="284" t="n">
        <v>0</v>
      </c>
      <c r="AT3" s="284" t="n">
        <v>0</v>
      </c>
      <c r="AU3" s="284" t="n">
        <v>0</v>
      </c>
      <c r="AV3" s="284" t="n">
        <v>0</v>
      </c>
      <c r="AW3" s="284" t="n">
        <v>0</v>
      </c>
      <c r="AX3" s="284" t="n">
        <v>0</v>
      </c>
      <c r="AY3" s="284" t="n">
        <v>0</v>
      </c>
      <c r="AZ3" s="284">
        <f>'Flujo 5 años C12'!J30</f>
        <v/>
      </c>
      <c r="BA3" s="284" t="n">
        <v>0</v>
      </c>
      <c r="BB3" s="284" t="n">
        <v>0</v>
      </c>
      <c r="BC3" s="284" t="n">
        <v>0</v>
      </c>
      <c r="BD3" s="284" t="n">
        <v>0</v>
      </c>
      <c r="BE3" s="284" t="n">
        <v>0</v>
      </c>
      <c r="BF3" s="284" t="n">
        <v>0</v>
      </c>
      <c r="BG3" s="284" t="n">
        <v>0</v>
      </c>
      <c r="BH3" s="284" t="n">
        <v>0</v>
      </c>
      <c r="BI3" s="284" t="n">
        <v>0</v>
      </c>
      <c r="BJ3" s="284" t="n">
        <v>0</v>
      </c>
      <c r="BK3" s="284" t="n">
        <v>0</v>
      </c>
    </row>
    <row r="4">
      <c r="B4" s="284" t="n"/>
      <c r="C4" s="284" t="inlineStr">
        <is>
          <t>Amortización</t>
        </is>
      </c>
      <c r="D4" s="284" t="n">
        <v>0</v>
      </c>
      <c r="E4" s="284" t="n">
        <v>0</v>
      </c>
      <c r="F4" s="284" t="n">
        <v>0</v>
      </c>
      <c r="G4" s="284" t="n">
        <v>0</v>
      </c>
      <c r="H4" s="284" t="n">
        <v>0</v>
      </c>
      <c r="I4" s="284" t="n">
        <v>0</v>
      </c>
      <c r="J4" s="284" t="n">
        <v>0</v>
      </c>
      <c r="K4" s="284" t="n">
        <v>0</v>
      </c>
      <c r="L4" s="284" t="n">
        <v>0</v>
      </c>
      <c r="M4" s="284" t="n">
        <v>0</v>
      </c>
      <c r="N4" s="284" t="n">
        <v>0</v>
      </c>
      <c r="O4" s="284" t="n">
        <v>0</v>
      </c>
      <c r="P4" s="284" t="n">
        <v>0</v>
      </c>
      <c r="Q4" s="284" t="n">
        <v>0</v>
      </c>
      <c r="R4" s="284" t="n">
        <v>0</v>
      </c>
      <c r="S4" s="284" t="n">
        <v>0</v>
      </c>
      <c r="T4" s="284" t="n">
        <v>0</v>
      </c>
      <c r="U4" s="284" t="n">
        <v>0</v>
      </c>
      <c r="V4" s="284" t="n">
        <v>0</v>
      </c>
      <c r="W4" s="284" t="n">
        <v>0</v>
      </c>
      <c r="X4" s="284" t="n">
        <v>0</v>
      </c>
      <c r="Y4" s="284" t="n">
        <v>0</v>
      </c>
      <c r="Z4" s="284" t="n">
        <v>0</v>
      </c>
      <c r="AA4" s="284" t="n">
        <v>0</v>
      </c>
      <c r="AB4" s="284" t="n">
        <v>0</v>
      </c>
      <c r="AC4" s="284" t="n">
        <v>0</v>
      </c>
      <c r="AD4" s="284" t="n">
        <v>0</v>
      </c>
      <c r="AE4" s="284" t="n">
        <v>0</v>
      </c>
      <c r="AF4" s="284" t="n">
        <v>0</v>
      </c>
      <c r="AG4" s="284" t="n">
        <v>0</v>
      </c>
      <c r="AH4" s="284" t="n">
        <v>0</v>
      </c>
      <c r="AI4" s="284" t="n">
        <v>0</v>
      </c>
      <c r="AJ4" s="284" t="n">
        <v>0</v>
      </c>
      <c r="AK4" s="284" t="n">
        <v>0</v>
      </c>
      <c r="AL4" s="284" t="n">
        <v>0</v>
      </c>
      <c r="AM4" s="284" t="n">
        <v>0</v>
      </c>
      <c r="AN4" s="284" t="n">
        <v>0</v>
      </c>
      <c r="AO4" s="284" t="n">
        <v>0</v>
      </c>
      <c r="AP4" s="284" t="n">
        <v>0</v>
      </c>
      <c r="AQ4" s="284" t="n">
        <v>0</v>
      </c>
      <c r="AR4" s="284" t="n">
        <v>0</v>
      </c>
      <c r="AS4" s="284" t="n">
        <v>0</v>
      </c>
      <c r="AT4" s="284" t="n">
        <v>0</v>
      </c>
      <c r="AU4" s="284" t="n">
        <v>0</v>
      </c>
      <c r="AV4" s="284" t="n">
        <v>0</v>
      </c>
      <c r="AW4" s="284" t="n">
        <v>0</v>
      </c>
      <c r="AX4" s="284" t="n">
        <v>0</v>
      </c>
      <c r="AY4" s="284" t="n">
        <v>0</v>
      </c>
      <c r="AZ4" s="284" t="n">
        <v>0</v>
      </c>
      <c r="BA4" s="284" t="n">
        <v>0</v>
      </c>
      <c r="BB4" s="284" t="n">
        <v>0</v>
      </c>
      <c r="BC4" s="284" t="n">
        <v>0</v>
      </c>
      <c r="BD4" s="284" t="n">
        <v>0</v>
      </c>
      <c r="BE4" s="284" t="n">
        <v>0</v>
      </c>
      <c r="BF4" s="284" t="n">
        <v>0</v>
      </c>
      <c r="BG4" s="284" t="n">
        <v>0</v>
      </c>
      <c r="BH4" s="284" t="n">
        <v>0</v>
      </c>
      <c r="BI4" s="284" t="n">
        <v>0</v>
      </c>
      <c r="BJ4" s="284" t="n">
        <v>0</v>
      </c>
      <c r="BK4" s="284" t="n">
        <v>0</v>
      </c>
    </row>
    <row r="5">
      <c r="C5" t="inlineStr">
        <is>
          <t>Saldo de Capital</t>
        </is>
      </c>
      <c r="D5" s="312">
        <f>D3</f>
        <v/>
      </c>
      <c r="E5" s="312">
        <f>D5+E4+E3</f>
        <v/>
      </c>
      <c r="F5" s="312">
        <f>E5+F4+F3</f>
        <v/>
      </c>
      <c r="G5" s="312">
        <f>F5+G4+G3</f>
        <v/>
      </c>
      <c r="H5" s="312">
        <f>G5+H4+H3</f>
        <v/>
      </c>
      <c r="I5" s="312">
        <f>H5+I4+I3</f>
        <v/>
      </c>
      <c r="J5" s="312">
        <f>I5+J4+J3</f>
        <v/>
      </c>
      <c r="K5" s="312">
        <f>J5+K4+K3</f>
        <v/>
      </c>
      <c r="L5" s="312">
        <f>K5+L4+L3</f>
        <v/>
      </c>
      <c r="M5" s="312">
        <f>L5+M4+M3</f>
        <v/>
      </c>
      <c r="N5" s="312">
        <f>M5+N4+N3</f>
        <v/>
      </c>
      <c r="O5" s="312">
        <f>N5+O4+O3</f>
        <v/>
      </c>
      <c r="P5" s="312">
        <f>O5+P4+P3</f>
        <v/>
      </c>
      <c r="Q5" s="312">
        <f>P5+Q4+Q3</f>
        <v/>
      </c>
      <c r="R5" s="312">
        <f>Q5+R4+R3</f>
        <v/>
      </c>
      <c r="S5" s="312">
        <f>R5+S4+S3</f>
        <v/>
      </c>
      <c r="T5" s="312">
        <f>S5+T4+T3</f>
        <v/>
      </c>
      <c r="U5" s="312">
        <f>T5+U4+U3</f>
        <v/>
      </c>
      <c r="V5" s="312">
        <f>U5+V4+V3</f>
        <v/>
      </c>
      <c r="W5" s="312">
        <f>V5+W4+W3</f>
        <v/>
      </c>
      <c r="X5" s="312">
        <f>W5+X4+X3</f>
        <v/>
      </c>
      <c r="Y5" s="312">
        <f>X5+Y4+Y3</f>
        <v/>
      </c>
      <c r="Z5" s="312">
        <f>Y5+Z4+Z3</f>
        <v/>
      </c>
      <c r="AA5" s="312">
        <f>Z5+AA4+AA3</f>
        <v/>
      </c>
      <c r="AB5" s="312">
        <f>AA5+AB4+AB3</f>
        <v/>
      </c>
      <c r="AC5" s="312">
        <f>AB5+AC4+AC3</f>
        <v/>
      </c>
      <c r="AD5" s="312">
        <f>AC5+AD4+AD3</f>
        <v/>
      </c>
      <c r="AE5" s="312">
        <f>AD5+AE4+AE3</f>
        <v/>
      </c>
      <c r="AF5" s="312">
        <f>AE5+AF4+AF3</f>
        <v/>
      </c>
      <c r="AG5" s="312">
        <f>AF5+AG4+AG3</f>
        <v/>
      </c>
      <c r="AH5" s="312">
        <f>AG5+AH4+AH3</f>
        <v/>
      </c>
      <c r="AI5" s="312">
        <f>AH5+AI4+AI3</f>
        <v/>
      </c>
      <c r="AJ5" s="312">
        <f>AI5+AJ4+AJ3</f>
        <v/>
      </c>
      <c r="AK5" s="312">
        <f>AJ5+AK4+AK3</f>
        <v/>
      </c>
      <c r="AL5" s="312">
        <f>AK5+AL4+AL3</f>
        <v/>
      </c>
      <c r="AM5" s="312">
        <f>AL5+AM4+AM3</f>
        <v/>
      </c>
      <c r="AN5" s="312">
        <f>AM5+AN4+AN3</f>
        <v/>
      </c>
      <c r="AO5" s="312">
        <f>AN5+AO4+AO3</f>
        <v/>
      </c>
      <c r="AP5" s="312">
        <f>AO5+AP4+AP3</f>
        <v/>
      </c>
      <c r="AQ5" s="312">
        <f>AP5+AQ4+AQ3</f>
        <v/>
      </c>
      <c r="AR5" s="312">
        <f>AQ5+AR4+AR3</f>
        <v/>
      </c>
      <c r="AS5" s="312">
        <f>AR5+AS4+AS3</f>
        <v/>
      </c>
      <c r="AT5" s="312">
        <f>AS5+AT4+AT3</f>
        <v/>
      </c>
      <c r="AU5" s="312">
        <f>AT5+AU4+AU3</f>
        <v/>
      </c>
      <c r="AV5" s="312">
        <f>AU5+AV4+AV3</f>
        <v/>
      </c>
      <c r="AW5" s="312">
        <f>AV5+AW4+AW3</f>
        <v/>
      </c>
      <c r="AX5" s="312">
        <f>AW5+AX4+AX3</f>
        <v/>
      </c>
      <c r="AY5" s="312">
        <f>AX5+AY4+AY3</f>
        <v/>
      </c>
      <c r="AZ5" s="312">
        <f>AY5+AZ4+AZ3</f>
        <v/>
      </c>
      <c r="BA5" s="312">
        <f>AZ5+BA4+BA3</f>
        <v/>
      </c>
      <c r="BB5" s="312">
        <f>BA5+BB4+BB3</f>
        <v/>
      </c>
      <c r="BC5" s="312">
        <f>BB5+BC4+BC3</f>
        <v/>
      </c>
      <c r="BD5" s="312">
        <f>BC5+BD4+BD3</f>
        <v/>
      </c>
      <c r="BE5" s="312">
        <f>BD5+BE4+BE3</f>
        <v/>
      </c>
      <c r="BF5" s="312">
        <f>BE5+BF4+BF3</f>
        <v/>
      </c>
      <c r="BG5" s="312">
        <f>BF5+BG4+BG3</f>
        <v/>
      </c>
      <c r="BH5" s="312">
        <f>BG5+BH4+BH3</f>
        <v/>
      </c>
      <c r="BI5" s="312">
        <f>BH5+BI4+BI3</f>
        <v/>
      </c>
      <c r="BJ5" s="312">
        <f>BI5+BJ4+BJ3</f>
        <v/>
      </c>
      <c r="BK5" s="312">
        <f>BJ5+BK4+BK3</f>
        <v/>
      </c>
    </row>
    <row r="7">
      <c r="E7" s="312">
        <f>D5*$B$1/12</f>
        <v/>
      </c>
      <c r="F7" s="312">
        <f>E5*$B$1/12</f>
        <v/>
      </c>
      <c r="G7" s="312">
        <f>F5*$B$1/12</f>
        <v/>
      </c>
      <c r="H7" s="312">
        <f>G5*$B$1/12</f>
        <v/>
      </c>
      <c r="I7" s="312">
        <f>H5*$B$1/12</f>
        <v/>
      </c>
      <c r="J7" s="312">
        <f>I5*$B$1/12</f>
        <v/>
      </c>
      <c r="K7" s="312">
        <f>J5*$B$1/12</f>
        <v/>
      </c>
      <c r="L7" s="312">
        <f>K5*$B$1/12</f>
        <v/>
      </c>
      <c r="M7" s="312">
        <f>L5*$B$1/12</f>
        <v/>
      </c>
      <c r="N7" s="312">
        <f>M5*$B$1/12</f>
        <v/>
      </c>
      <c r="O7" s="312">
        <f>N5*$B$1/12</f>
        <v/>
      </c>
      <c r="P7" s="312">
        <f>O5*$B$1/12</f>
        <v/>
      </c>
      <c r="Q7" s="312">
        <f>P5*$B$1/12</f>
        <v/>
      </c>
      <c r="R7" s="312">
        <f>Q5*$B$1/12</f>
        <v/>
      </c>
      <c r="S7" s="312">
        <f>R5*$B$1/12</f>
        <v/>
      </c>
      <c r="T7" s="312">
        <f>S5*$B$1/12</f>
        <v/>
      </c>
      <c r="U7" s="312">
        <f>T5*$B$1/12</f>
        <v/>
      </c>
      <c r="V7" s="312">
        <f>U5*$B$1/12</f>
        <v/>
      </c>
      <c r="W7" s="312">
        <f>V5*$B$1/12</f>
        <v/>
      </c>
      <c r="X7" s="312">
        <f>W5*$B$1/12</f>
        <v/>
      </c>
      <c r="Y7" s="312">
        <f>X5*$B$1/12</f>
        <v/>
      </c>
      <c r="Z7" s="312">
        <f>Y5*$B$1/12</f>
        <v/>
      </c>
      <c r="AA7" s="312">
        <f>Z5*$B$1/12</f>
        <v/>
      </c>
      <c r="AB7" s="312">
        <f>AA5*$B$1/12</f>
        <v/>
      </c>
      <c r="AC7" s="312">
        <f>AB5*$B$1/12</f>
        <v/>
      </c>
      <c r="AD7" s="312">
        <f>AC5*$B$1/12</f>
        <v/>
      </c>
      <c r="AE7" s="312">
        <f>AD5*$B$1/12</f>
        <v/>
      </c>
      <c r="AF7" s="312">
        <f>AE5*$B$1/12</f>
        <v/>
      </c>
      <c r="AG7" s="312">
        <f>AF5*$B$1/12</f>
        <v/>
      </c>
      <c r="AH7" s="312">
        <f>AG5*$B$1/12</f>
        <v/>
      </c>
      <c r="AI7" s="312">
        <f>AH5*$B$1/12</f>
        <v/>
      </c>
      <c r="AJ7" s="312">
        <f>AI5*$B$1/12</f>
        <v/>
      </c>
      <c r="AK7" s="312">
        <f>AJ5*$B$1/12</f>
        <v/>
      </c>
      <c r="AL7" s="312">
        <f>AK5*$B$1/12</f>
        <v/>
      </c>
      <c r="AM7" s="312">
        <f>AL5*$B$1/12</f>
        <v/>
      </c>
      <c r="AN7" s="312">
        <f>AM5*$B$1/12</f>
        <v/>
      </c>
      <c r="AO7" s="312">
        <f>AN5*$B$1/12</f>
        <v/>
      </c>
      <c r="AP7" s="312">
        <f>AO5*$B$1/12</f>
        <v/>
      </c>
      <c r="AQ7" s="312">
        <f>AP5*$B$1/12</f>
        <v/>
      </c>
      <c r="AR7" s="312">
        <f>AQ5*$B$1/12</f>
        <v/>
      </c>
      <c r="AS7" s="312">
        <f>AR5*$B$1/12</f>
        <v/>
      </c>
      <c r="AT7" s="312">
        <f>AS5*$B$1/12</f>
        <v/>
      </c>
      <c r="AU7" s="312">
        <f>AT5*$B$1/12</f>
        <v/>
      </c>
      <c r="AV7" s="312">
        <f>AU5*$B$1/12</f>
        <v/>
      </c>
      <c r="AW7" s="312">
        <f>AV5*$B$1/12</f>
        <v/>
      </c>
      <c r="AX7" s="312">
        <f>AW5*$B$1/12</f>
        <v/>
      </c>
      <c r="AY7" s="312">
        <f>AX5*$B$1/12</f>
        <v/>
      </c>
      <c r="AZ7" s="312">
        <f>AY5*$B$1/12</f>
        <v/>
      </c>
      <c r="BA7" s="312">
        <f>AZ5*$B$1/12</f>
        <v/>
      </c>
      <c r="BB7" s="312">
        <f>BA5*$B$1/12</f>
        <v/>
      </c>
      <c r="BC7" s="312">
        <f>BB5*$B$1/12</f>
        <v/>
      </c>
      <c r="BD7" s="312">
        <f>BC5*$B$1/12</f>
        <v/>
      </c>
      <c r="BE7" s="312">
        <f>BD5*$B$1/12</f>
        <v/>
      </c>
      <c r="BF7" s="312">
        <f>BE5*$B$1/12</f>
        <v/>
      </c>
      <c r="BG7" s="312">
        <f>BF5*$B$1/12</f>
        <v/>
      </c>
      <c r="BH7" s="312">
        <f>BG5*$B$1/12</f>
        <v/>
      </c>
      <c r="BI7" s="312">
        <f>BH5*$B$1/12</f>
        <v/>
      </c>
      <c r="BJ7" s="312">
        <f>BI5*$B$1/12</f>
        <v/>
      </c>
      <c r="BK7" s="312">
        <f>BJ5*$B$1/12</f>
        <v/>
      </c>
      <c r="BL7" s="312">
        <f>SUM(E7:BK7)</f>
        <v/>
      </c>
    </row>
    <row r="8">
      <c r="G8" s="312">
        <f>SUM(E7:G7)</f>
        <v/>
      </c>
      <c r="J8" s="312">
        <f>SUM(H7:J7)</f>
        <v/>
      </c>
      <c r="M8" s="312">
        <f>SUM(K7:M7)</f>
        <v/>
      </c>
      <c r="O8" s="312" t="n"/>
      <c r="P8" s="312">
        <f>SUM(N7:P7)</f>
        <v/>
      </c>
      <c r="S8" s="312">
        <f>SUM(Q7:S7)</f>
        <v/>
      </c>
      <c r="V8" s="312">
        <f>SUM(T7:V7)</f>
        <v/>
      </c>
      <c r="Y8" s="312">
        <f>SUM(W7:Y7)</f>
        <v/>
      </c>
      <c r="AA8" s="312" t="n"/>
      <c r="AB8" s="312">
        <f>SUM(Z7:AB7)</f>
        <v/>
      </c>
      <c r="AE8" s="312">
        <f>SUM(AC7:AE7)</f>
        <v/>
      </c>
      <c r="AH8" s="312">
        <f>SUM(AF7:AH7)</f>
        <v/>
      </c>
      <c r="AK8" s="312">
        <f>SUM(AI7:AK7)</f>
        <v/>
      </c>
      <c r="AN8" s="312">
        <f>SUM(AL7:AN7)</f>
        <v/>
      </c>
      <c r="AQ8" s="312">
        <f>SUM(AO7:AQ7)</f>
        <v/>
      </c>
      <c r="AT8" s="312">
        <f>SUM(AR7:AT7)</f>
        <v/>
      </c>
      <c r="AW8" s="312">
        <f>SUM(AU7:AW7)</f>
        <v/>
      </c>
      <c r="AZ8" s="312">
        <f>SUM(AX7:AZ7)</f>
        <v/>
      </c>
      <c r="BC8" s="312">
        <f>SUM(BA7:BC7)</f>
        <v/>
      </c>
      <c r="BF8" s="312">
        <f>SUM(BD7:BF7)</f>
        <v/>
      </c>
      <c r="BI8" s="312">
        <f>SUM(BG7:BI7)</f>
        <v/>
      </c>
      <c r="BK8" s="312">
        <f>SUM(BJ7:BK7)</f>
        <v/>
      </c>
      <c r="BL8" s="312">
        <f>SUM(E8:BK8)</f>
        <v/>
      </c>
    </row>
    <row r="9" customFormat="1" s="284">
      <c r="O9" s="284">
        <f>SUM(D8:O8)</f>
        <v/>
      </c>
      <c r="AA9" s="284">
        <f>SUM(P8:AA8)</f>
        <v/>
      </c>
      <c r="AM9" s="284">
        <f>SUM(AB8:AM8)</f>
        <v/>
      </c>
      <c r="AY9" s="284">
        <f>SUM(AN8:AY8)</f>
        <v/>
      </c>
      <c r="BK9" s="284">
        <f>SUM(AZ8:BK8)</f>
        <v/>
      </c>
      <c r="BL9" s="284">
        <f>SUM(E9:BK9)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patricia</dc:creator>
  <dcterms:created xsi:type="dcterms:W3CDTF">2018-01-17T14:19:41Z</dcterms:created>
  <dcterms:modified xsi:type="dcterms:W3CDTF">2026-04-15T22:01:31Z</dcterms:modified>
  <cp:lastModifiedBy>Mario Estrada</cp:lastModifiedBy>
  <cp:lastPrinted>2025-02-07T14:11:04Z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0x010100381614C1AECE4D4E94FF77F11FD7DEB9</vt:lpwstr>
  </property>
</Properties>
</file>